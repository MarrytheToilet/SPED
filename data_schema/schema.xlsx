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元数据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4" sheetId="6" state="visible" r:id="rId6"/>
    <sheet xmlns:r="http://schemas.openxmlformats.org/officeDocument/2006/relationships" name="5" sheetId="7" state="visible" r:id="rId7"/>
    <sheet xmlns:r="http://schemas.openxmlformats.org/officeDocument/2006/relationships" name="6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16" sheetId="18" state="visible" r:id="rId18"/>
    <sheet xmlns:r="http://schemas.openxmlformats.org/officeDocument/2006/relationships" name="17" sheetId="19" state="visible" r:id="rId19"/>
    <sheet xmlns:r="http://schemas.openxmlformats.org/officeDocument/2006/relationships" name="18" sheetId="20" state="visible" r:id="rId20"/>
    <sheet xmlns:r="http://schemas.openxmlformats.org/officeDocument/2006/relationships" name="19" sheetId="21" state="visible" r:id="rId21"/>
    <sheet xmlns:r="http://schemas.openxmlformats.org/officeDocument/2006/relationships" name="20" sheetId="22" state="visible" r:id="rId22"/>
    <sheet xmlns:r="http://schemas.openxmlformats.org/officeDocument/2006/relationships" name="21" sheetId="23" state="visible" r:id="rId23"/>
    <sheet xmlns:r="http://schemas.openxmlformats.org/officeDocument/2006/relationships" name="22" sheetId="24" state="visible" r:id="rId24"/>
    <sheet xmlns:r="http://schemas.openxmlformats.org/officeDocument/2006/relationships" name="23" sheetId="25" state="visible" r:id="rId25"/>
    <sheet xmlns:r="http://schemas.openxmlformats.org/officeDocument/2006/relationships" name="24" sheetId="26" state="visible" r:id="rId26"/>
    <sheet xmlns:r="http://schemas.openxmlformats.org/officeDocument/2006/relationships" name="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3.8" customWidth="1" min="1" max="1"/>
    <col width="151.8" customWidth="1" min="2" max="2"/>
  </cols>
  <sheetData>
    <row r="1">
      <c r="A1" s="1" t="inlineStr">
        <is>
          <t>工作表名</t>
        </is>
      </c>
      <c r="B1" s="1" t="inlineStr">
        <is>
          <t>内容</t>
        </is>
      </c>
    </row>
    <row r="2">
      <c r="A2" s="1" t="inlineStr">
        <is>
          <t>1</t>
        </is>
      </c>
      <c r="B2" s="2">
        <f>HYPERLINK("#1!A2", "第一级数据字段")</f>
        <v/>
      </c>
    </row>
    <row r="3">
      <c r="A3" s="1" t="inlineStr">
        <is>
          <t>2</t>
        </is>
      </c>
      <c r="B3" s="2">
        <f>HYPERLINK("#2!A1", "'球头信息.球头基本信息'的内容")</f>
        <v/>
      </c>
    </row>
    <row r="4">
      <c r="A4" s="1" t="inlineStr">
        <is>
          <t>3</t>
        </is>
      </c>
      <c r="B4" s="2">
        <f>HYPERLINK("#3!A1", "'球头信息.球头-成分组成'的内容")</f>
        <v/>
      </c>
    </row>
    <row r="5">
      <c r="A5" s="1" t="inlineStr">
        <is>
          <t>4</t>
        </is>
      </c>
      <c r="B5" s="2">
        <f>HYPERLINK("#4!A1", "'球头信息.球头-物理性能'的内容")</f>
        <v/>
      </c>
    </row>
    <row r="6">
      <c r="A6" s="1" t="inlineStr">
        <is>
          <t>5</t>
        </is>
      </c>
      <c r="B6" s="2">
        <f>HYPERLINK("#5!A1", "'球头信息.球头-微观组织'的内容")</f>
        <v/>
      </c>
    </row>
    <row r="7">
      <c r="A7" s="1" t="inlineStr">
        <is>
          <t>6</t>
        </is>
      </c>
      <c r="B7" s="2">
        <f>HYPERLINK("#6!A1", "'股骨柄信息.股骨柄基本信息'的内容")</f>
        <v/>
      </c>
    </row>
    <row r="8">
      <c r="A8" s="1" t="inlineStr">
        <is>
          <t>7</t>
        </is>
      </c>
      <c r="B8" s="2">
        <f>HYPERLINK("#7!A1", "'股骨柄信息.股骨柄-成分组成'的内容")</f>
        <v/>
      </c>
    </row>
    <row r="9">
      <c r="A9" s="1" t="inlineStr">
        <is>
          <t>8</t>
        </is>
      </c>
      <c r="B9" s="2">
        <f>HYPERLINK("#8!A1", "'股骨柄信息.股骨柄-物理性能'的内容")</f>
        <v/>
      </c>
    </row>
    <row r="10">
      <c r="A10" s="1" t="inlineStr">
        <is>
          <t>9</t>
        </is>
      </c>
      <c r="B10" s="2">
        <f>HYPERLINK("#9!A1", "'股骨柄信息.股骨柄-微观组织'的内容")</f>
        <v/>
      </c>
    </row>
    <row r="11">
      <c r="A11" s="1" t="inlineStr">
        <is>
          <t>10</t>
        </is>
      </c>
      <c r="B11" s="2">
        <f>HYPERLINK("#10!A1", "'内衬信息.内衬-基本信息'的内容")</f>
        <v/>
      </c>
    </row>
    <row r="12">
      <c r="A12" s="1" t="inlineStr">
        <is>
          <t>11</t>
        </is>
      </c>
      <c r="B12" s="2">
        <f>HYPERLINK("#11!A1", "'内衬信息.内衬-改性填料'的内容")</f>
        <v/>
      </c>
    </row>
    <row r="13">
      <c r="A13" s="1" t="inlineStr">
        <is>
          <t>12</t>
        </is>
      </c>
      <c r="B13" s="2">
        <f>HYPERLINK("#12!A1", "'内衬信息.内衬-成分组成'的内容")</f>
        <v/>
      </c>
    </row>
    <row r="14">
      <c r="A14" s="1" t="inlineStr">
        <is>
          <t>13</t>
        </is>
      </c>
      <c r="B14" s="2">
        <f>HYPERLINK("#13!A1", "'内衬信息.内衬-物理性能'的内容")</f>
        <v/>
      </c>
    </row>
    <row r="15">
      <c r="A15" s="1" t="inlineStr">
        <is>
          <t>14</t>
        </is>
      </c>
      <c r="B15" s="2">
        <f>HYPERLINK("#14!A1", "'内衬信息.复合材料性能'的内容")</f>
        <v/>
      </c>
    </row>
    <row r="16">
      <c r="A16" s="1" t="inlineStr">
        <is>
          <t>15</t>
        </is>
      </c>
      <c r="B16" s="2">
        <f>HYPERLINK("#15!A1", "'内衬信息.内衬-材料表征'的内容")</f>
        <v/>
      </c>
    </row>
    <row r="17">
      <c r="A17" s="1" t="inlineStr">
        <is>
          <t>16</t>
        </is>
      </c>
      <c r="B17" s="2">
        <f>HYPERLINK("#16!A1", "'体外实验-内衬与球头摩擦腐蚀实验.内衬与球头-实验设置'的内容")</f>
        <v/>
      </c>
    </row>
    <row r="18">
      <c r="A18" s="1" t="inlineStr">
        <is>
          <t>17</t>
        </is>
      </c>
      <c r="B18" s="2">
        <f>HYPERLINK("#17!A1", "'体外实验-内衬与球头摩擦腐蚀实验.球头腐蚀实验结果'的内容")</f>
        <v/>
      </c>
    </row>
    <row r="19">
      <c r="A19" s="1" t="inlineStr">
        <is>
          <t>18</t>
        </is>
      </c>
      <c r="B19" s="2">
        <f>HYPERLINK("#18!A1", "'体外实验-内衬与球头摩擦腐蚀实验.内衬腐蚀实验结果'的内容")</f>
        <v/>
      </c>
    </row>
    <row r="20">
      <c r="A20" s="1" t="inlineStr">
        <is>
          <t>19</t>
        </is>
      </c>
      <c r="B20" s="2">
        <f>HYPERLINK("#19!A1", "'体外实验-内衬与球头摩擦腐蚀实验.内衬与球头-实验环境-润滑液组成'的内容")</f>
        <v/>
      </c>
    </row>
    <row r="21">
      <c r="A21" s="1" t="inlineStr">
        <is>
          <t>20</t>
        </is>
      </c>
      <c r="B21" s="2">
        <f>HYPERLINK("#20!A1", "'体外实验-内衬与球头摩擦腐蚀实验.球头磨损实验结果'的内容")</f>
        <v/>
      </c>
    </row>
    <row r="22">
      <c r="A22" s="1" t="inlineStr">
        <is>
          <t>21</t>
        </is>
      </c>
      <c r="B22" s="2">
        <f>HYPERLINK("#21!A1", "'体外实验-内衬与球头摩擦腐蚀实验.内衬磨损实验结果'的内容")</f>
        <v/>
      </c>
    </row>
    <row r="23">
      <c r="A23" s="1" t="inlineStr">
        <is>
          <t>22</t>
        </is>
      </c>
      <c r="B23" s="2">
        <f>HYPERLINK("#22!A1", "'体外实验-内衬与球头摩擦腐蚀实验.球头表面成分分析'的内容")</f>
        <v/>
      </c>
    </row>
    <row r="24">
      <c r="A24" s="1" t="inlineStr">
        <is>
          <t>23</t>
        </is>
      </c>
      <c r="B24" s="2">
        <f>HYPERLINK("#23!A1", "'体外实验-球头与锥颈界面微动腐蚀实验.球头与锥颈-实验设置'的内容")</f>
        <v/>
      </c>
    </row>
    <row r="25">
      <c r="A25" s="1" t="inlineStr">
        <is>
          <t>24</t>
        </is>
      </c>
      <c r="B25" s="2">
        <f>HYPERLINK("#24!A1", "'体外实验-球头与锥颈界面微动腐蚀实验.锥颈与球头-实验环境-润滑液组成'的内容")</f>
        <v/>
      </c>
    </row>
    <row r="26">
      <c r="A26" s="1" t="inlineStr">
        <is>
          <t>25</t>
        </is>
      </c>
      <c r="B26" s="2">
        <f>HYPERLINK("#25!A1", "'体外实验-球头与锥颈界面微动腐蚀实验.腐蚀与磨损实验结果'的内容")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.6" customWidth="1" min="1" max="1"/>
    <col width="41.4" customWidth="1" min="9" max="9"/>
    <col width="87.39999999999999" customWidth="1" min="10" max="10"/>
    <col width="78.19999999999999" customWidth="1" min="11" max="11"/>
  </cols>
  <sheetData>
    <row r="1">
      <c r="A1" s="1" t="inlineStr">
        <is>
          <t>数据ID</t>
        </is>
      </c>
      <c r="B1" s="1" t="n"/>
      <c r="C1" s="1" t="n"/>
      <c r="D1" s="1" t="n"/>
      <c r="E1" s="1" t="n"/>
      <c r="F1" s="1" t="n"/>
      <c r="G1" s="1" t="n"/>
      <c r="I1" s="3" t="inlineStr">
        <is>
          <t>a2a91731-d0ca-4b4c-81ee-5b944e06115d</t>
        </is>
      </c>
      <c r="J1" s="3" t="inlineStr">
        <is>
          <t>118 （请不要修改或删除此单元格的内容！！！！！！！）</t>
        </is>
      </c>
      <c r="K1" s="3" t="inlineStr">
        <is>
          <t>北京科技大学（001）/高精尖学院（0010）</t>
        </is>
      </c>
    </row>
    <row r="2">
      <c r="A2" s="1" t="inlineStr">
        <is>
          <t>第1条数据的数据ID</t>
        </is>
      </c>
      <c r="B2" s="1" t="n"/>
      <c r="C2" s="1" t="n"/>
      <c r="D2" s="1" t="n"/>
      <c r="E2" s="1" t="n"/>
      <c r="F2" s="1" t="n"/>
      <c r="G2" s="1" t="n"/>
      <c r="I2" s="1" t="n"/>
      <c r="J2" s="1" t="n"/>
      <c r="K2" s="3" t="inlineStr">
        <is>
          <t>北京科技大学（001）/计算机与通信工程学院（0011）</t>
        </is>
      </c>
    </row>
    <row r="3">
      <c r="A3" s="1" t="inlineStr">
        <is>
          <t>第2条数据的数据ID</t>
        </is>
      </c>
      <c r="B3" s="1" t="n"/>
      <c r="C3" s="1" t="n"/>
      <c r="D3" s="1" t="n"/>
      <c r="E3" s="1" t="n"/>
      <c r="F3" s="1" t="n"/>
      <c r="G3" s="1" t="n"/>
      <c r="I3" s="1" t="n"/>
      <c r="J3" s="1" t="n"/>
      <c r="K3" s="3" t="inlineStr">
        <is>
          <t>北京科技大学（001）/材料学院（0012）</t>
        </is>
      </c>
    </row>
    <row r="4">
      <c r="A4" s="1" t="inlineStr">
        <is>
          <t>第3条数据的数据ID</t>
        </is>
      </c>
      <c r="B4" s="1" t="n"/>
      <c r="C4" s="1" t="n"/>
      <c r="D4" s="1" t="n"/>
      <c r="E4" s="1" t="n"/>
      <c r="F4" s="1" t="n"/>
      <c r="G4" s="1" t="n"/>
      <c r="I4" s="1" t="n"/>
      <c r="J4" s="1" t="n"/>
      <c r="K4" s="3" t="inlineStr">
        <is>
          <t>北京科技大学（001）/新材料技术研究院（0013）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27.6" customWidth="1" min="1" max="1"/>
    <col width="58.65" customWidth="1" min="2" max="2"/>
    <col width="58.65" customWidth="1" min="3" max="3"/>
    <col width="79.34999999999999" customWidth="1" min="4" max="4"/>
    <col width="71.3" customWidth="1" min="5" max="5"/>
    <col width="71.3" customWidth="1" min="6" max="6"/>
    <col width="71.3" customWidth="1" min="7" max="7"/>
    <col width="71.3" customWidth="1" min="8" max="8"/>
    <col width="71.3" customWidth="1" min="9" max="9"/>
    <col width="71.3" customWidth="1" min="10" max="10"/>
    <col width="71.3" customWidth="1" min="11" max="11"/>
    <col width="71.3" customWidth="1" min="12" max="12"/>
    <col width="73.59999999999999" customWidth="1" min="13" max="13"/>
    <col width="73.59999999999999" customWidth="1" min="14" max="14"/>
    <col width="73.59999999999999" customWidth="1" min="15" max="15"/>
    <col width="73.59999999999999" customWidth="1" min="16" max="16"/>
    <col width="73.59999999999999" customWidth="1" min="17" max="17"/>
    <col width="73.59999999999999" customWidth="1" min="18" max="18"/>
    <col width="86.25" customWidth="1" min="19" max="19"/>
    <col width="81.64999999999999" customWidth="1" min="20" max="20"/>
    <col width="81.64999999999999" customWidth="1" min="21" max="21"/>
    <col width="104.65" customWidth="1" min="22" max="22"/>
    <col width="81.64999999999999" customWidth="1" min="23" max="23"/>
    <col width="81.64999999999999" customWidth="1" min="24" max="24"/>
    <col width="81.64999999999999" customWidth="1" min="25" max="25"/>
    <col width="93.14999999999999" customWidth="1" min="26" max="26"/>
    <col width="111.55" customWidth="1" min="27" max="27"/>
    <col width="92" customWidth="1" min="28" max="28"/>
  </cols>
  <sheetData>
    <row r="1">
      <c r="A1" s="1" t="inlineStr">
        <is>
          <t>数据ID</t>
        </is>
      </c>
      <c r="B1" s="1" t="inlineStr">
        <is>
          <t>数据标识</t>
        </is>
      </c>
      <c r="C1" s="1" t="inlineStr">
        <is>
          <t>应用部位</t>
        </is>
      </c>
      <c r="D1" s="1" t="inlineStr">
        <is>
          <t>产品所属专利号或文献</t>
        </is>
      </c>
      <c r="E1" s="1" t="inlineStr">
        <is>
          <t>球头信息.球头基本信息</t>
        </is>
      </c>
      <c r="F1" s="1" t="inlineStr">
        <is>
          <t>球头信息.球头-成分组成</t>
        </is>
      </c>
      <c r="G1" s="1" t="inlineStr">
        <is>
          <t>球头信息.球头-物理性能</t>
        </is>
      </c>
      <c r="H1" s="1" t="inlineStr">
        <is>
          <t>球头信息.球头-微观组织</t>
        </is>
      </c>
      <c r="I1" s="1" t="inlineStr">
        <is>
          <t>股骨柄信息.股骨柄基本信息</t>
        </is>
      </c>
      <c r="J1" s="1" t="inlineStr">
        <is>
          <t>股骨柄信息.股骨柄-成分组成</t>
        </is>
      </c>
      <c r="K1" s="1" t="inlineStr">
        <is>
          <t>股骨柄信息.股骨柄-物理性能</t>
        </is>
      </c>
      <c r="L1" s="1" t="inlineStr">
        <is>
          <t>股骨柄信息.股骨柄-微观组织</t>
        </is>
      </c>
      <c r="M1" s="1" t="inlineStr">
        <is>
          <t>内衬信息.内衬-基本信息</t>
        </is>
      </c>
      <c r="N1" s="1" t="inlineStr">
        <is>
          <t>内衬信息.内衬-改性填料</t>
        </is>
      </c>
      <c r="O1" s="1" t="inlineStr">
        <is>
          <t>内衬信息.内衬-成分组成</t>
        </is>
      </c>
      <c r="P1" s="1" t="inlineStr">
        <is>
          <t>内衬信息.内衬-物理性能</t>
        </is>
      </c>
      <c r="Q1" s="1" t="inlineStr">
        <is>
          <t>内衬信息.复合材料性能</t>
        </is>
      </c>
      <c r="R1" s="1" t="inlineStr">
        <is>
          <t>内衬信息.内衬-材料表征</t>
        </is>
      </c>
      <c r="S1" s="1" t="inlineStr">
        <is>
          <t>体外实验-内衬与球头摩擦腐蚀实验.内衬与球头-实验设置</t>
        </is>
      </c>
      <c r="T1" s="1" t="inlineStr">
        <is>
          <t>体外实验-内衬与球头摩擦腐蚀实验.球头腐蚀实验结果</t>
        </is>
      </c>
      <c r="U1" s="1" t="inlineStr">
        <is>
          <t>体外实验-内衬与球头摩擦腐蚀实验.内衬腐蚀实验结果</t>
        </is>
      </c>
      <c r="V1" s="1" t="inlineStr">
        <is>
          <t>体外实验-内衬与球头摩擦腐蚀实验.内衬与球头-实验环境-润滑液组成</t>
        </is>
      </c>
      <c r="W1" s="1" t="inlineStr">
        <is>
          <t>体外实验-内衬与球头摩擦腐蚀实验.球头磨损实验结果</t>
        </is>
      </c>
      <c r="X1" s="1" t="inlineStr">
        <is>
          <t>体外实验-内衬与球头摩擦腐蚀实验.内衬磨损实验结果</t>
        </is>
      </c>
      <c r="Y1" s="1" t="inlineStr">
        <is>
          <t>体外实验-内衬与球头摩擦腐蚀实验.球头表面成分分析</t>
        </is>
      </c>
      <c r="Z1" s="1" t="inlineStr">
        <is>
          <t>体外实验-球头与锥颈界面微动腐蚀实验.球头与锥颈-实验设置</t>
        </is>
      </c>
      <c r="AA1" s="1" t="inlineStr">
        <is>
          <t>体外实验-球头与锥颈界面微动腐蚀实验.锥颈与球头-实验环境-润滑液组成</t>
        </is>
      </c>
      <c r="AB1" s="1" t="inlineStr">
        <is>
          <t>体外实验-球头与锥颈界面微动腐蚀实验.腐蚀与磨损实验结果</t>
        </is>
      </c>
    </row>
    <row r="2">
      <c r="A2" s="1" t="inlineStr">
        <is>
          <t>第1条数据的数据ID</t>
        </is>
      </c>
      <c r="B2" s="1" t="inlineStr">
        <is>
          <t>在这里填写“数据标识”（字符串型）</t>
        </is>
      </c>
      <c r="C2" s="1" t="inlineStr">
        <is>
          <t>在这里填写“应用部位”（字符串型）</t>
        </is>
      </c>
      <c r="D2" s="1" t="inlineStr">
        <is>
          <t>在这里填写“产品所属专利号或文献”（字符串型）</t>
        </is>
      </c>
      <c r="E2" s="2">
        <f>HYPERLINK("#2!A1", "请填写工作表 ""2""，此处不填")</f>
        <v/>
      </c>
      <c r="F2" s="2">
        <f>HYPERLINK("#3!A1", "请填写工作表 ""3""，此处不填")</f>
        <v/>
      </c>
      <c r="G2" s="2">
        <f>HYPERLINK("#4!A1", "请填写工作表 ""4""，此处不填")</f>
        <v/>
      </c>
      <c r="H2" s="2">
        <f>HYPERLINK("#5!A1", "请填写工作表 ""5""，此处不填")</f>
        <v/>
      </c>
      <c r="I2" s="2">
        <f>HYPERLINK("#6!A1", "请填写工作表 ""6""，此处不填")</f>
        <v/>
      </c>
      <c r="J2" s="2">
        <f>HYPERLINK("#7!A1", "请填写工作表 ""7""，此处不填")</f>
        <v/>
      </c>
      <c r="K2" s="2">
        <f>HYPERLINK("#8!A1", "请填写工作表 ""8""，此处不填")</f>
        <v/>
      </c>
      <c r="L2" s="2">
        <f>HYPERLINK("#9!A1", "请填写工作表 ""9""，此处不填")</f>
        <v/>
      </c>
      <c r="M2" s="2">
        <f>HYPERLINK("#10!A1", "请填写工作表 ""10""，此处不填")</f>
        <v/>
      </c>
      <c r="N2" s="2">
        <f>HYPERLINK("#11!A1", "请填写工作表 ""11""，此处不填")</f>
        <v/>
      </c>
      <c r="O2" s="2">
        <f>HYPERLINK("#12!A1", "请填写工作表 ""12""，此处不填")</f>
        <v/>
      </c>
      <c r="P2" s="2">
        <f>HYPERLINK("#13!A1", "请填写工作表 ""13""，此处不填")</f>
        <v/>
      </c>
      <c r="Q2" s="2">
        <f>HYPERLINK("#14!A1", "请填写工作表 ""14""，此处不填")</f>
        <v/>
      </c>
      <c r="R2" s="2">
        <f>HYPERLINK("#15!A1", "请填写工作表 ""15""，此处不填")</f>
        <v/>
      </c>
      <c r="S2" s="2">
        <f>HYPERLINK("#16!A1", "请填写工作表 ""16""，此处不填")</f>
        <v/>
      </c>
      <c r="T2" s="2">
        <f>HYPERLINK("#17!A1", "请填写工作表 ""17""，此处不填")</f>
        <v/>
      </c>
      <c r="U2" s="2">
        <f>HYPERLINK("#18!A1", "请填写工作表 ""18""，此处不填")</f>
        <v/>
      </c>
      <c r="V2" s="2">
        <f>HYPERLINK("#19!A1", "请填写工作表 ""19""，此处不填")</f>
        <v/>
      </c>
      <c r="W2" s="2">
        <f>HYPERLINK("#20!A1", "请填写工作表 ""20""，此处不填")</f>
        <v/>
      </c>
      <c r="X2" s="2">
        <f>HYPERLINK("#21!A1", "请填写工作表 ""21""，此处不填")</f>
        <v/>
      </c>
      <c r="Y2" s="2">
        <f>HYPERLINK("#22!A1", "请填写工作表 ""22""，此处不填")</f>
        <v/>
      </c>
      <c r="Z2" s="2">
        <f>HYPERLINK("#23!A1", "请填写工作表 ""23""，此处不填")</f>
        <v/>
      </c>
      <c r="AA2" s="2">
        <f>HYPERLINK("#24!A1", "请填写工作表 ""24""，此处不填")</f>
        <v/>
      </c>
      <c r="AB2" s="2">
        <f>HYPERLINK("#25!A1", "请填写工作表 ""25""，此处不填")</f>
        <v/>
      </c>
    </row>
    <row r="3">
      <c r="A3" s="1" t="inlineStr">
        <is>
          <t>第2条数据的数据ID</t>
        </is>
      </c>
      <c r="B3" s="1" t="inlineStr">
        <is>
          <t>在这里填写“数据标识”（字符串型）</t>
        </is>
      </c>
      <c r="C3" s="1" t="inlineStr">
        <is>
          <t>在这里填写“应用部位”（字符串型）</t>
        </is>
      </c>
      <c r="D3" s="1" t="inlineStr">
        <is>
          <t>在这里填写“产品所属专利号或文献”（字符串型）</t>
        </is>
      </c>
      <c r="E3" s="2">
        <f>HYPERLINK("#2!A1", "请填写工作表 ""2""，此处不填")</f>
        <v/>
      </c>
      <c r="F3" s="2">
        <f>HYPERLINK("#3!A1", "请填写工作表 ""3""，此处不填")</f>
        <v/>
      </c>
      <c r="G3" s="2">
        <f>HYPERLINK("#4!A1", "请填写工作表 ""4""，此处不填")</f>
        <v/>
      </c>
      <c r="H3" s="2">
        <f>HYPERLINK("#5!A1", "请填写工作表 ""5""，此处不填")</f>
        <v/>
      </c>
      <c r="I3" s="2">
        <f>HYPERLINK("#6!A1", "请填写工作表 ""6""，此处不填")</f>
        <v/>
      </c>
      <c r="J3" s="2">
        <f>HYPERLINK("#7!A1", "请填写工作表 ""7""，此处不填")</f>
        <v/>
      </c>
      <c r="K3" s="2">
        <f>HYPERLINK("#8!A1", "请填写工作表 ""8""，此处不填")</f>
        <v/>
      </c>
      <c r="L3" s="2">
        <f>HYPERLINK("#9!A1", "请填写工作表 ""9""，此处不填")</f>
        <v/>
      </c>
      <c r="M3" s="2">
        <f>HYPERLINK("#10!A1", "请填写工作表 ""10""，此处不填")</f>
        <v/>
      </c>
      <c r="N3" s="2">
        <f>HYPERLINK("#11!A1", "请填写工作表 ""11""，此处不填")</f>
        <v/>
      </c>
      <c r="O3" s="2">
        <f>HYPERLINK("#12!A1", "请填写工作表 ""12""，此处不填")</f>
        <v/>
      </c>
      <c r="P3" s="2">
        <f>HYPERLINK("#13!A1", "请填写工作表 ""13""，此处不填")</f>
        <v/>
      </c>
      <c r="Q3" s="2">
        <f>HYPERLINK("#14!A1", "请填写工作表 ""14""，此处不填")</f>
        <v/>
      </c>
      <c r="R3" s="2">
        <f>HYPERLINK("#15!A1", "请填写工作表 ""15""，此处不填")</f>
        <v/>
      </c>
      <c r="S3" s="2">
        <f>HYPERLINK("#16!A1", "请填写工作表 ""16""，此处不填")</f>
        <v/>
      </c>
      <c r="T3" s="2">
        <f>HYPERLINK("#17!A1", "请填写工作表 ""17""，此处不填")</f>
        <v/>
      </c>
      <c r="U3" s="2">
        <f>HYPERLINK("#18!A1", "请填写工作表 ""18""，此处不填")</f>
        <v/>
      </c>
      <c r="V3" s="2">
        <f>HYPERLINK("#19!A1", "请填写工作表 ""19""，此处不填")</f>
        <v/>
      </c>
      <c r="W3" s="2">
        <f>HYPERLINK("#20!A1", "请填写工作表 ""20""，此处不填")</f>
        <v/>
      </c>
      <c r="X3" s="2">
        <f>HYPERLINK("#21!A1", "请填写工作表 ""21""，此处不填")</f>
        <v/>
      </c>
      <c r="Y3" s="2">
        <f>HYPERLINK("#22!A1", "请填写工作表 ""22""，此处不填")</f>
        <v/>
      </c>
      <c r="Z3" s="2">
        <f>HYPERLINK("#23!A1", "请填写工作表 ""23""，此处不填")</f>
        <v/>
      </c>
      <c r="AA3" s="2">
        <f>HYPERLINK("#24!A1", "请填写工作表 ""24""，此处不填")</f>
        <v/>
      </c>
      <c r="AB3" s="2">
        <f>HYPERLINK("#25!A1", "请填写工作表 ""25""，此处不填")</f>
        <v/>
      </c>
    </row>
    <row r="4">
      <c r="A4" s="1" t="inlineStr">
        <is>
          <t>第3条数据的数据ID</t>
        </is>
      </c>
      <c r="B4" s="1" t="inlineStr">
        <is>
          <t>在这里填写“数据标识”（字符串型）</t>
        </is>
      </c>
      <c r="C4" s="1" t="inlineStr">
        <is>
          <t>在这里填写“应用部位”（字符串型）</t>
        </is>
      </c>
      <c r="D4" s="1" t="inlineStr">
        <is>
          <t>在这里填写“产品所属专利号或文献”（字符串型）</t>
        </is>
      </c>
      <c r="E4" s="2">
        <f>HYPERLINK("#2!A1", "请填写工作表 ""2""，此处不填")</f>
        <v/>
      </c>
      <c r="F4" s="2">
        <f>HYPERLINK("#3!A1", "请填写工作表 ""3""，此处不填")</f>
        <v/>
      </c>
      <c r="G4" s="2">
        <f>HYPERLINK("#4!A1", "请填写工作表 ""4""，此处不填")</f>
        <v/>
      </c>
      <c r="H4" s="2">
        <f>HYPERLINK("#5!A1", "请填写工作表 ""5""，此处不填")</f>
        <v/>
      </c>
      <c r="I4" s="2">
        <f>HYPERLINK("#6!A1", "请填写工作表 ""6""，此处不填")</f>
        <v/>
      </c>
      <c r="J4" s="2">
        <f>HYPERLINK("#7!A1", "请填写工作表 ""7""，此处不填")</f>
        <v/>
      </c>
      <c r="K4" s="2">
        <f>HYPERLINK("#8!A1", "请填写工作表 ""8""，此处不填")</f>
        <v/>
      </c>
      <c r="L4" s="2">
        <f>HYPERLINK("#9!A1", "请填写工作表 ""9""，此处不填")</f>
        <v/>
      </c>
      <c r="M4" s="2">
        <f>HYPERLINK("#10!A1", "请填写工作表 ""10""，此处不填")</f>
        <v/>
      </c>
      <c r="N4" s="2">
        <f>HYPERLINK("#11!A1", "请填写工作表 ""11""，此处不填")</f>
        <v/>
      </c>
      <c r="O4" s="2">
        <f>HYPERLINK("#12!A1", "请填写工作表 ""12""，此处不填")</f>
        <v/>
      </c>
      <c r="P4" s="2">
        <f>HYPERLINK("#13!A1", "请填写工作表 ""13""，此处不填")</f>
        <v/>
      </c>
      <c r="Q4" s="2">
        <f>HYPERLINK("#14!A1", "请填写工作表 ""14""，此处不填")</f>
        <v/>
      </c>
      <c r="R4" s="2">
        <f>HYPERLINK("#15!A1", "请填写工作表 ""15""，此处不填")</f>
        <v/>
      </c>
      <c r="S4" s="2">
        <f>HYPERLINK("#16!A1", "请填写工作表 ""16""，此处不填")</f>
        <v/>
      </c>
      <c r="T4" s="2">
        <f>HYPERLINK("#17!A1", "请填写工作表 ""17""，此处不填")</f>
        <v/>
      </c>
      <c r="U4" s="2">
        <f>HYPERLINK("#18!A1", "请填写工作表 ""18""，此处不填")</f>
        <v/>
      </c>
      <c r="V4" s="2">
        <f>HYPERLINK("#19!A1", "请填写工作表 ""19""，此处不填")</f>
        <v/>
      </c>
      <c r="W4" s="2">
        <f>HYPERLINK("#20!A1", "请填写工作表 ""20""，此处不填")</f>
        <v/>
      </c>
      <c r="X4" s="2">
        <f>HYPERLINK("#21!A1", "请填写工作表 ""21""，此处不填")</f>
        <v/>
      </c>
      <c r="Y4" s="2">
        <f>HYPERLINK("#22!A1", "请填写工作表 ""22""，此处不填")</f>
        <v/>
      </c>
      <c r="Z4" s="2">
        <f>HYPERLINK("#23!A1", "请填写工作表 ""23""，此处不填")</f>
        <v/>
      </c>
      <c r="AA4" s="2">
        <f>HYPERLINK("#24!A1", "请填写工作表 ""24""，此处不填")</f>
        <v/>
      </c>
      <c r="AB4" s="2">
        <f>HYPERLINK("#25!A1", "请填写工作表 ""25""，此处不填")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.6" customWidth="1" min="1" max="1"/>
    <col width="58.65" customWidth="1" min="2" max="2"/>
    <col width="58.65" customWidth="1" min="3" max="3"/>
    <col width="58.65" customWidth="1" min="4" max="4"/>
    <col width="58.65" customWidth="1" min="5" max="5"/>
  </cols>
  <sheetData>
    <row r="1">
      <c r="A1" s="1" t="inlineStr">
        <is>
          <t>数据ID</t>
        </is>
      </c>
      <c r="B1" s="1" t="inlineStr">
        <is>
          <t>球头信息.球头基本信息.材料编号</t>
        </is>
      </c>
      <c r="C1" s="1" t="inlineStr">
        <is>
          <t>球头信息.球头基本信息.材料类别</t>
        </is>
      </c>
      <c r="D1" s="1" t="inlineStr">
        <is>
          <t>球头信息.球头基本信息.加工工艺</t>
        </is>
      </c>
      <c r="E1" s="1" t="inlineStr">
        <is>
          <t>球头信息.球头基本信息.表面处理</t>
        </is>
      </c>
    </row>
    <row r="2">
      <c r="A2" s="1" t="inlineStr">
        <is>
          <t>第1条数据的数据ID</t>
        </is>
      </c>
      <c r="B2" s="1" t="inlineStr">
        <is>
          <t>在这里填写“材料编号”（字符串型）</t>
        </is>
      </c>
      <c r="C2" s="1" t="inlineStr">
        <is>
          <t>在这里填写“材料类别”（字符串型）</t>
        </is>
      </c>
      <c r="D2" s="1" t="inlineStr">
        <is>
          <t>在这里填写“加工工艺”（字符串型）</t>
        </is>
      </c>
      <c r="E2" s="1" t="inlineStr">
        <is>
          <t>在这里填写“表面处理”（字符串型）</t>
        </is>
      </c>
    </row>
    <row r="3">
      <c r="A3" s="1" t="inlineStr">
        <is>
          <t>第2条数据的数据ID</t>
        </is>
      </c>
      <c r="B3" s="1" t="inlineStr">
        <is>
          <t>在这里填写“材料编号”（字符串型）</t>
        </is>
      </c>
      <c r="C3" s="1" t="inlineStr">
        <is>
          <t>在这里填写“材料类别”（字符串型）</t>
        </is>
      </c>
      <c r="D3" s="1" t="inlineStr">
        <is>
          <t>在这里填写“加工工艺”（字符串型）</t>
        </is>
      </c>
      <c r="E3" s="1" t="inlineStr">
        <is>
          <t>在这里填写“表面处理”（字符串型）</t>
        </is>
      </c>
    </row>
    <row r="4">
      <c r="A4" s="1" t="inlineStr">
        <is>
          <t>第3条数据的数据ID</t>
        </is>
      </c>
      <c r="B4" s="1" t="inlineStr">
        <is>
          <t>在这里填写“材料编号”（字符串型）</t>
        </is>
      </c>
      <c r="C4" s="1" t="inlineStr">
        <is>
          <t>在这里填写“材料类别”（字符串型）</t>
        </is>
      </c>
      <c r="D4" s="1" t="inlineStr">
        <is>
          <t>在这里填写“加工工艺”（字符串型）</t>
        </is>
      </c>
      <c r="E4" s="1" t="inlineStr">
        <is>
          <t>在这里填写“表面处理”（字符串型）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.6" customWidth="1" min="1" max="1"/>
    <col width="51.74999999999999" customWidth="1" min="2" max="2"/>
    <col width="55.2" customWidth="1" min="3" max="3"/>
    <col width="58.65" customWidth="1" min="4" max="4"/>
  </cols>
  <sheetData>
    <row r="1">
      <c r="A1" s="1" t="inlineStr">
        <is>
          <t>数据ID</t>
        </is>
      </c>
      <c r="B1" s="1" t="inlineStr">
        <is>
          <t>球头信息.球头-成分组成.成分</t>
        </is>
      </c>
      <c r="C1" s="1" t="inlineStr">
        <is>
          <t>球头信息.球头-成分组成.成分(%)</t>
        </is>
      </c>
      <c r="D1" s="1" t="inlineStr">
        <is>
          <t>球头信息.球头-成分组成.碳含量(%)</t>
        </is>
      </c>
    </row>
    <row r="2">
      <c r="A2" s="1" t="inlineStr">
        <is>
          <t>第1条数据的数据ID</t>
        </is>
      </c>
      <c r="B2" s="1" t="inlineStr">
        <is>
          <t>在这里填写“成分”（字符串型）</t>
        </is>
      </c>
      <c r="C2" s="1" t="inlineStr">
        <is>
          <t>在这里填写“成分(%)”（字符串型）</t>
        </is>
      </c>
      <c r="D2" s="1" t="inlineStr">
        <is>
          <t>在这里填写“碳含量(%)”（字符串型）</t>
        </is>
      </c>
    </row>
    <row r="3">
      <c r="A3" s="1" t="inlineStr">
        <is>
          <t>第2条数据的数据ID</t>
        </is>
      </c>
      <c r="B3" s="1" t="inlineStr">
        <is>
          <t>在这里填写“成分”（字符串型）</t>
        </is>
      </c>
      <c r="C3" s="1" t="inlineStr">
        <is>
          <t>在这里填写“成分(%)”（字符串型）</t>
        </is>
      </c>
      <c r="D3" s="1" t="inlineStr">
        <is>
          <t>在这里填写“碳含量(%)”（字符串型）</t>
        </is>
      </c>
    </row>
    <row r="4">
      <c r="A4" s="1" t="inlineStr">
        <is>
          <t>第3条数据的数据ID</t>
        </is>
      </c>
      <c r="B4" s="1" t="inlineStr">
        <is>
          <t>在这里填写“成分”（字符串型）</t>
        </is>
      </c>
      <c r="C4" s="1" t="inlineStr">
        <is>
          <t>在这里填写“成分(%)”（字符串型）</t>
        </is>
      </c>
      <c r="D4" s="1" t="inlineStr">
        <is>
          <t>在这里填写“碳含量(%)”（字符串型）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7.6" customWidth="1" min="1" max="1"/>
    <col width="56.34999999999999" customWidth="1" min="2" max="2"/>
    <col width="64.39999999999999" customWidth="1" min="3" max="3"/>
    <col width="67.84999999999999" customWidth="1" min="4" max="4"/>
    <col width="64.39999999999999" customWidth="1" min="5" max="5"/>
    <col width="64.39999999999999" customWidth="1" min="6" max="6"/>
    <col width="64.39999999999999" customWidth="1" min="7" max="7"/>
    <col width="64.39999999999999" customWidth="1" min="8" max="8"/>
    <col width="64.39999999999999" customWidth="1" min="9" max="9"/>
    <col width="60.95" customWidth="1" min="10" max="10"/>
    <col width="63.24999999999999" customWidth="1" min="11" max="11"/>
    <col width="71.3" customWidth="1" min="12" max="12"/>
    <col width="55.2" customWidth="1" min="13" max="13"/>
    <col width="64.39999999999999" customWidth="1" min="14" max="14"/>
    <col width="71.3" customWidth="1" min="15" max="15"/>
    <col width="58.65" customWidth="1" min="16" max="16"/>
    <col width="67.84999999999999" customWidth="1" min="17" max="17"/>
    <col width="58.65" customWidth="1" min="18" max="18"/>
    <col width="58.65" customWidth="1" min="19" max="19"/>
    <col width="64.39999999999999" customWidth="1" min="20" max="20"/>
    <col width="64.39999999999999" customWidth="1" min="21" max="21"/>
  </cols>
  <sheetData>
    <row r="1">
      <c r="A1" s="1" t="inlineStr">
        <is>
          <t>数据ID</t>
        </is>
      </c>
      <c r="B1" s="1" t="inlineStr">
        <is>
          <t>球头信息.球头-物理性能.硬度(HV)</t>
        </is>
      </c>
      <c r="C1" s="1" t="inlineStr">
        <is>
          <t>球头信息.球头-物理性能.接触应力(MPa)</t>
        </is>
      </c>
      <c r="D1" s="1" t="inlineStr">
        <is>
          <t>球头信息.球头-物理性能.表面粗糙度(μm)</t>
        </is>
      </c>
      <c r="E1" s="1" t="inlineStr">
        <is>
          <t>球头信息.球头-物理性能.弹性模量(GPa)</t>
        </is>
      </c>
      <c r="F1" s="1" t="inlineStr">
        <is>
          <t>球头信息.球头-物理性能.抗压强度(MPa)</t>
        </is>
      </c>
      <c r="G1" s="1" t="inlineStr">
        <is>
          <t>球头信息.球头-物理性能.抗拉强度(MPa)</t>
        </is>
      </c>
      <c r="H1" s="1" t="inlineStr">
        <is>
          <t>球头信息.球头-物理性能.屈服强度(MPa)</t>
        </is>
      </c>
      <c r="I1" s="1" t="inlineStr">
        <is>
          <t>球头信息.球头-物理性能.屈服应力(MPa)</t>
        </is>
      </c>
      <c r="J1" s="1" t="inlineStr">
        <is>
          <t>球头信息.球头-物理性能.密度(Kg/m³)</t>
        </is>
      </c>
      <c r="K1" s="1" t="inlineStr">
        <is>
          <t>球头信息.球头-物理性能.剪切模量(Pa)</t>
        </is>
      </c>
      <c r="L1" s="1" t="inlineStr">
        <is>
          <t>球头信息.球头-物理性能.极限拉伸强度(MPa)</t>
        </is>
      </c>
      <c r="M1" s="1" t="inlineStr">
        <is>
          <t>球头信息.球头-物理性能.泊松比</t>
        </is>
      </c>
      <c r="N1" s="1" t="inlineStr">
        <is>
          <t>球头信息.球头-物理性能.疲劳强度(MPa)</t>
        </is>
      </c>
      <c r="O1" s="1" t="inlineStr">
        <is>
          <t>球头信息.球头-物理性能.断裂韧性(MPa·m1/2)</t>
        </is>
      </c>
      <c r="P1" s="1" t="inlineStr">
        <is>
          <t>球头信息.球头-物理性能.亲疏水性</t>
        </is>
      </c>
      <c r="Q1" s="1" t="inlineStr">
        <is>
          <t>球头信息.球头-物理性能.表面电荷/势(mV)</t>
        </is>
      </c>
      <c r="R1" s="1" t="inlineStr">
        <is>
          <t>球头信息.球头-物理性能.蠕变常数</t>
        </is>
      </c>
      <c r="S1" s="1" t="inlineStr">
        <is>
          <t>球头信息.球头-物理性能.孔隙率(%)</t>
        </is>
      </c>
      <c r="T1" s="1" t="inlineStr">
        <is>
          <t>球头信息.球头-物理性能.孔径大小(μm)</t>
        </is>
      </c>
      <c r="U1" s="1" t="inlineStr">
        <is>
          <t>球头信息.球头-物理性能.杨氏模量(GPa)</t>
        </is>
      </c>
    </row>
    <row r="2">
      <c r="A2" s="1" t="inlineStr">
        <is>
          <t>第1条数据的数据ID</t>
        </is>
      </c>
      <c r="B2" s="1" t="inlineStr">
        <is>
          <t>在这里填写“硬度(HV)”（字符串型）</t>
        </is>
      </c>
      <c r="C2" s="1" t="inlineStr">
        <is>
          <t>在这里填写“接触应力(MPa)”（字符串型）</t>
        </is>
      </c>
      <c r="D2" s="1" t="inlineStr">
        <is>
          <t>在这里填写“表面粗糙度(μm)”（字符串型）</t>
        </is>
      </c>
      <c r="E2" s="1" t="inlineStr">
        <is>
          <t>在这里填写“弹性模量(GPa)”（字符串型）</t>
        </is>
      </c>
      <c r="F2" s="1" t="inlineStr">
        <is>
          <t>在这里填写“抗压强度(MPa)”（字符串型）</t>
        </is>
      </c>
      <c r="G2" s="1" t="inlineStr">
        <is>
          <t>在这里填写“抗拉强度(MPa)”（字符串型）</t>
        </is>
      </c>
      <c r="H2" s="1" t="inlineStr">
        <is>
          <t>在这里填写“屈服强度(MPa)”（字符串型）</t>
        </is>
      </c>
      <c r="I2" s="1" t="inlineStr">
        <is>
          <t>在这里填写“屈服应力(MPa)”（字符串型）</t>
        </is>
      </c>
      <c r="J2" s="1" t="inlineStr">
        <is>
          <t>在这里填写“密度(Kg/m³)”（字符串型）</t>
        </is>
      </c>
      <c r="K2" s="1" t="inlineStr">
        <is>
          <t>在这里填写“剪切模量(Pa)”（字符串型）</t>
        </is>
      </c>
      <c r="L2" s="1" t="inlineStr">
        <is>
          <t>在这里填写“极限拉伸强度(MPa)”（字符串型）</t>
        </is>
      </c>
      <c r="M2" s="1" t="inlineStr">
        <is>
          <t>在这里填写“泊松比”（字符串型）</t>
        </is>
      </c>
      <c r="N2" s="1" t="inlineStr">
        <is>
          <t>在这里填写“疲劳强度(MPa)”（字符串型）</t>
        </is>
      </c>
      <c r="O2" s="1" t="inlineStr">
        <is>
          <t>在这里填写“断裂韧性(MPa·m1/2)”（字符串型）</t>
        </is>
      </c>
      <c r="P2" s="1" t="inlineStr">
        <is>
          <t>在这里填写“亲疏水性”（字符串型）</t>
        </is>
      </c>
      <c r="Q2" s="1" t="inlineStr">
        <is>
          <t>在这里填写“表面电荷/势(mV)”（字符串型）</t>
        </is>
      </c>
      <c r="R2" s="1" t="inlineStr">
        <is>
          <t>在这里填写“蠕变常数”（字符串型）</t>
        </is>
      </c>
      <c r="S2" s="1" t="inlineStr">
        <is>
          <t>在这里填写“孔隙率(%)”（字符串型）</t>
        </is>
      </c>
      <c r="T2" s="1" t="inlineStr">
        <is>
          <t>在这里填写“孔径大小(μm)”（字符串型）</t>
        </is>
      </c>
      <c r="U2" s="1" t="inlineStr">
        <is>
          <t>在这里填写“杨氏模量(GPa)”（字符串型）</t>
        </is>
      </c>
    </row>
    <row r="3">
      <c r="A3" s="1" t="inlineStr">
        <is>
          <t>第2条数据的数据ID</t>
        </is>
      </c>
      <c r="B3" s="1" t="inlineStr">
        <is>
          <t>在这里填写“硬度(HV)”（字符串型）</t>
        </is>
      </c>
      <c r="C3" s="1" t="inlineStr">
        <is>
          <t>在这里填写“接触应力(MPa)”（字符串型）</t>
        </is>
      </c>
      <c r="D3" s="1" t="inlineStr">
        <is>
          <t>在这里填写“表面粗糙度(μm)”（字符串型）</t>
        </is>
      </c>
      <c r="E3" s="1" t="inlineStr">
        <is>
          <t>在这里填写“弹性模量(GPa)”（字符串型）</t>
        </is>
      </c>
      <c r="F3" s="1" t="inlineStr">
        <is>
          <t>在这里填写“抗压强度(MPa)”（字符串型）</t>
        </is>
      </c>
      <c r="G3" s="1" t="inlineStr">
        <is>
          <t>在这里填写“抗拉强度(MPa)”（字符串型）</t>
        </is>
      </c>
      <c r="H3" s="1" t="inlineStr">
        <is>
          <t>在这里填写“屈服强度(MPa)”（字符串型）</t>
        </is>
      </c>
      <c r="I3" s="1" t="inlineStr">
        <is>
          <t>在这里填写“屈服应力(MPa)”（字符串型）</t>
        </is>
      </c>
      <c r="J3" s="1" t="inlineStr">
        <is>
          <t>在这里填写“密度(Kg/m³)”（字符串型）</t>
        </is>
      </c>
      <c r="K3" s="1" t="inlineStr">
        <is>
          <t>在这里填写“剪切模量(Pa)”（字符串型）</t>
        </is>
      </c>
      <c r="L3" s="1" t="inlineStr">
        <is>
          <t>在这里填写“极限拉伸强度(MPa)”（字符串型）</t>
        </is>
      </c>
      <c r="M3" s="1" t="inlineStr">
        <is>
          <t>在这里填写“泊松比”（字符串型）</t>
        </is>
      </c>
      <c r="N3" s="1" t="inlineStr">
        <is>
          <t>在这里填写“疲劳强度(MPa)”（字符串型）</t>
        </is>
      </c>
      <c r="O3" s="1" t="inlineStr">
        <is>
          <t>在这里填写“断裂韧性(MPa·m1/2)”（字符串型）</t>
        </is>
      </c>
      <c r="P3" s="1" t="inlineStr">
        <is>
          <t>在这里填写“亲疏水性”（字符串型）</t>
        </is>
      </c>
      <c r="Q3" s="1" t="inlineStr">
        <is>
          <t>在这里填写“表面电荷/势(mV)”（字符串型）</t>
        </is>
      </c>
      <c r="R3" s="1" t="inlineStr">
        <is>
          <t>在这里填写“蠕变常数”（字符串型）</t>
        </is>
      </c>
      <c r="S3" s="1" t="inlineStr">
        <is>
          <t>在这里填写“孔隙率(%)”（字符串型）</t>
        </is>
      </c>
      <c r="T3" s="1" t="inlineStr">
        <is>
          <t>在这里填写“孔径大小(μm)”（字符串型）</t>
        </is>
      </c>
      <c r="U3" s="1" t="inlineStr">
        <is>
          <t>在这里填写“杨氏模量(GPa)”（字符串型）</t>
        </is>
      </c>
    </row>
    <row r="4">
      <c r="A4" s="1" t="inlineStr">
        <is>
          <t>第3条数据的数据ID</t>
        </is>
      </c>
      <c r="B4" s="1" t="inlineStr">
        <is>
          <t>在这里填写“硬度(HV)”（字符串型）</t>
        </is>
      </c>
      <c r="C4" s="1" t="inlineStr">
        <is>
          <t>在这里填写“接触应力(MPa)”（字符串型）</t>
        </is>
      </c>
      <c r="D4" s="1" t="inlineStr">
        <is>
          <t>在这里填写“表面粗糙度(μm)”（字符串型）</t>
        </is>
      </c>
      <c r="E4" s="1" t="inlineStr">
        <is>
          <t>在这里填写“弹性模量(GPa)”（字符串型）</t>
        </is>
      </c>
      <c r="F4" s="1" t="inlineStr">
        <is>
          <t>在这里填写“抗压强度(MPa)”（字符串型）</t>
        </is>
      </c>
      <c r="G4" s="1" t="inlineStr">
        <is>
          <t>在这里填写“抗拉强度(MPa)”（字符串型）</t>
        </is>
      </c>
      <c r="H4" s="1" t="inlineStr">
        <is>
          <t>在这里填写“屈服强度(MPa)”（字符串型）</t>
        </is>
      </c>
      <c r="I4" s="1" t="inlineStr">
        <is>
          <t>在这里填写“屈服应力(MPa)”（字符串型）</t>
        </is>
      </c>
      <c r="J4" s="1" t="inlineStr">
        <is>
          <t>在这里填写“密度(Kg/m³)”（字符串型）</t>
        </is>
      </c>
      <c r="K4" s="1" t="inlineStr">
        <is>
          <t>在这里填写“剪切模量(Pa)”（字符串型）</t>
        </is>
      </c>
      <c r="L4" s="1" t="inlineStr">
        <is>
          <t>在这里填写“极限拉伸强度(MPa)”（字符串型）</t>
        </is>
      </c>
      <c r="M4" s="1" t="inlineStr">
        <is>
          <t>在这里填写“泊松比”（字符串型）</t>
        </is>
      </c>
      <c r="N4" s="1" t="inlineStr">
        <is>
          <t>在这里填写“疲劳强度(MPa)”（字符串型）</t>
        </is>
      </c>
      <c r="O4" s="1" t="inlineStr">
        <is>
          <t>在这里填写“断裂韧性(MPa·m1/2)”（字符串型）</t>
        </is>
      </c>
      <c r="P4" s="1" t="inlineStr">
        <is>
          <t>在这里填写“亲疏水性”（字符串型）</t>
        </is>
      </c>
      <c r="Q4" s="1" t="inlineStr">
        <is>
          <t>在这里填写“表面电荷/势(mV)”（字符串型）</t>
        </is>
      </c>
      <c r="R4" s="1" t="inlineStr">
        <is>
          <t>在这里填写“蠕变常数”（字符串型）</t>
        </is>
      </c>
      <c r="S4" s="1" t="inlineStr">
        <is>
          <t>在这里填写“孔隙率(%)”（字符串型）</t>
        </is>
      </c>
      <c r="T4" s="1" t="inlineStr">
        <is>
          <t>在这里填写“孔径大小(μm)”（字符串型）</t>
        </is>
      </c>
      <c r="U4" s="1" t="inlineStr">
        <is>
          <t>在这里填写“杨氏模量(GPa)”（字符串型）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.6" customWidth="1" min="1" max="1"/>
    <col width="64.39999999999999" customWidth="1" min="2" max="2"/>
    <col width="58.65" customWidth="1" min="3" max="3"/>
    <col width="126.5" customWidth="1" min="4" max="4"/>
    <col width="65.55" customWidth="1" min="5" max="5"/>
    <col width="140.3" customWidth="1" min="6" max="6"/>
    <col width="79.34999999999999" customWidth="1" min="7" max="7"/>
  </cols>
  <sheetData>
    <row r="1">
      <c r="A1" s="1" t="inlineStr">
        <is>
          <t>数据ID</t>
        </is>
      </c>
      <c r="B1" s="1" t="inlineStr">
        <is>
          <t>球头信息.球头-微观组织.晶粒大小(μm)</t>
        </is>
      </c>
      <c r="C1" s="1" t="inlineStr">
        <is>
          <t>球头信息.球头-微观组织.晶粒取向</t>
        </is>
      </c>
      <c r="D1" s="1" t="inlineStr">
        <is>
          <t>球头信息.球头-微观组织.晶粒形貌</t>
        </is>
      </c>
      <c r="E1" s="1" t="inlineStr">
        <is>
          <t>球头信息.球头-微观组织.晶粒形貌描述</t>
        </is>
      </c>
      <c r="F1" s="1" t="inlineStr">
        <is>
          <t>球头信息.球头-微观组织.碳化物的分布情况</t>
        </is>
      </c>
      <c r="G1" s="1" t="inlineStr">
        <is>
          <t>球头信息.球头-微观组织.碳化物的分布情况描述</t>
        </is>
      </c>
    </row>
    <row r="2">
      <c r="A2" s="1" t="inlineStr">
        <is>
          <t>第1条数据的数据ID</t>
        </is>
      </c>
      <c r="B2" s="1" t="inlineStr">
        <is>
          <t>在这里填写“晶粒大小(μm)”（字符串型）</t>
        </is>
      </c>
      <c r="C2" s="1" t="inlineStr">
        <is>
          <t>在这里填写“晶粒取向”（字符串型）</t>
        </is>
      </c>
      <c r="D2" s="1" t="inlineStr">
        <is>
          <t>在这里填写“晶粒形貌”（图片型）（请填写文件或图片相对于本Excel文件的路径）</t>
        </is>
      </c>
      <c r="E2" s="1" t="inlineStr">
        <is>
          <t>在这里填写“晶粒形貌描述”（字符串型）</t>
        </is>
      </c>
      <c r="F2" s="1" t="inlineStr">
        <is>
          <t>在这里填写“碳化物的分布情况”（图片型）（请填写文件或图片相对于本Excel文件的路径）</t>
        </is>
      </c>
      <c r="G2" s="1" t="inlineStr">
        <is>
          <t>在这里填写“碳化物的分布情况描述”（字符串型）</t>
        </is>
      </c>
    </row>
    <row r="3">
      <c r="A3" s="1" t="inlineStr">
        <is>
          <t>第2条数据的数据ID</t>
        </is>
      </c>
      <c r="B3" s="1" t="inlineStr">
        <is>
          <t>在这里填写“晶粒大小(μm)”（字符串型）</t>
        </is>
      </c>
      <c r="C3" s="1" t="inlineStr">
        <is>
          <t>在这里填写“晶粒取向”（字符串型）</t>
        </is>
      </c>
      <c r="D3" s="1" t="inlineStr">
        <is>
          <t>在这里填写“晶粒形貌”（图片型）（请填写文件或图片相对于本Excel文件的路径）</t>
        </is>
      </c>
      <c r="E3" s="1" t="inlineStr">
        <is>
          <t>在这里填写“晶粒形貌描述”（字符串型）</t>
        </is>
      </c>
      <c r="F3" s="1" t="inlineStr">
        <is>
          <t>在这里填写“碳化物的分布情况”（图片型）（请填写文件或图片相对于本Excel文件的路径）</t>
        </is>
      </c>
      <c r="G3" s="1" t="inlineStr">
        <is>
          <t>在这里填写“碳化物的分布情况描述”（字符串型）</t>
        </is>
      </c>
    </row>
    <row r="4">
      <c r="A4" s="1" t="inlineStr">
        <is>
          <t>第3条数据的数据ID</t>
        </is>
      </c>
      <c r="B4" s="1" t="inlineStr">
        <is>
          <t>在这里填写“晶粒大小(μm)”（字符串型）</t>
        </is>
      </c>
      <c r="C4" s="1" t="inlineStr">
        <is>
          <t>在这里填写“晶粒取向”（字符串型）</t>
        </is>
      </c>
      <c r="D4" s="1" t="inlineStr">
        <is>
          <t>在这里填写“晶粒形貌”（图片型）（请填写文件或图片相对于本Excel文件的路径）</t>
        </is>
      </c>
      <c r="E4" s="1" t="inlineStr">
        <is>
          <t>在这里填写“晶粒形貌描述”（字符串型）</t>
        </is>
      </c>
      <c r="F4" s="1" t="inlineStr">
        <is>
          <t>在这里填写“碳化物的分布情况”（图片型）（请填写文件或图片相对于本Excel文件的路径）</t>
        </is>
      </c>
      <c r="G4" s="1" t="inlineStr">
        <is>
          <t>在这里填写“碳化物的分布情况描述”（字符串型）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.6" customWidth="1" min="1" max="1"/>
    <col width="58.65" customWidth="1" min="2" max="2"/>
    <col width="58.65" customWidth="1" min="3" max="3"/>
    <col width="58.65" customWidth="1" min="4" max="4"/>
    <col width="58.65" customWidth="1" min="5" max="5"/>
  </cols>
  <sheetData>
    <row r="1">
      <c r="A1" s="1" t="inlineStr">
        <is>
          <t>数据ID</t>
        </is>
      </c>
      <c r="B1" s="1" t="inlineStr">
        <is>
          <t>股骨柄信息.股骨柄基本信息.材料编号</t>
        </is>
      </c>
      <c r="C1" s="1" t="inlineStr">
        <is>
          <t>股骨柄信息.股骨柄基本信息.材料类别</t>
        </is>
      </c>
      <c r="D1" s="1" t="inlineStr">
        <is>
          <t>股骨柄信息.股骨柄基本信息.加工工艺</t>
        </is>
      </c>
      <c r="E1" s="1" t="inlineStr">
        <is>
          <t>股骨柄信息.股骨柄基本信息.表面处理</t>
        </is>
      </c>
    </row>
    <row r="2">
      <c r="A2" s="1" t="inlineStr">
        <is>
          <t>第1条数据的数据ID</t>
        </is>
      </c>
      <c r="B2" s="1" t="inlineStr">
        <is>
          <t>在这里填写“材料编号”（字符串型）</t>
        </is>
      </c>
      <c r="C2" s="1" t="inlineStr">
        <is>
          <t>在这里填写“材料类别”（字符串型）</t>
        </is>
      </c>
      <c r="D2" s="1" t="inlineStr">
        <is>
          <t>在这里填写“加工工艺”（字符串型）</t>
        </is>
      </c>
      <c r="E2" s="1" t="inlineStr">
        <is>
          <t>在这里填写“表面处理”（字符串型）</t>
        </is>
      </c>
    </row>
    <row r="3">
      <c r="A3" s="1" t="inlineStr">
        <is>
          <t>第2条数据的数据ID</t>
        </is>
      </c>
      <c r="B3" s="1" t="inlineStr">
        <is>
          <t>在这里填写“材料编号”（字符串型）</t>
        </is>
      </c>
      <c r="C3" s="1" t="inlineStr">
        <is>
          <t>在这里填写“材料类别”（字符串型）</t>
        </is>
      </c>
      <c r="D3" s="1" t="inlineStr">
        <is>
          <t>在这里填写“加工工艺”（字符串型）</t>
        </is>
      </c>
      <c r="E3" s="1" t="inlineStr">
        <is>
          <t>在这里填写“表面处理”（字符串型）</t>
        </is>
      </c>
    </row>
    <row r="4">
      <c r="A4" s="1" t="inlineStr">
        <is>
          <t>第3条数据的数据ID</t>
        </is>
      </c>
      <c r="B4" s="1" t="inlineStr">
        <is>
          <t>在这里填写“材料编号”（字符串型）</t>
        </is>
      </c>
      <c r="C4" s="1" t="inlineStr">
        <is>
          <t>在这里填写“材料类别”（字符串型）</t>
        </is>
      </c>
      <c r="D4" s="1" t="inlineStr">
        <is>
          <t>在这里填写“加工工艺”（字符串型）</t>
        </is>
      </c>
      <c r="E4" s="1" t="inlineStr">
        <is>
          <t>在这里填写“表面处理”（字符串型）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.6" customWidth="1" min="1" max="1"/>
    <col width="51.74999999999999" customWidth="1" min="2" max="2"/>
    <col width="55.2" customWidth="1" min="3" max="3"/>
    <col width="58.65" customWidth="1" min="4" max="4"/>
  </cols>
  <sheetData>
    <row r="1">
      <c r="A1" s="1" t="inlineStr">
        <is>
          <t>数据ID</t>
        </is>
      </c>
      <c r="B1" s="1" t="inlineStr">
        <is>
          <t>股骨柄信息.股骨柄-成分组成.成分</t>
        </is>
      </c>
      <c r="C1" s="1" t="inlineStr">
        <is>
          <t>股骨柄信息.股骨柄-成分组成.成分(%)</t>
        </is>
      </c>
      <c r="D1" s="1" t="inlineStr">
        <is>
          <t>股骨柄信息.股骨柄-成分组成.碳含量(%)</t>
        </is>
      </c>
    </row>
    <row r="2">
      <c r="A2" s="1" t="inlineStr">
        <is>
          <t>第1条数据的数据ID</t>
        </is>
      </c>
      <c r="B2" s="1" t="inlineStr">
        <is>
          <t>在这里填写“成分”（字符串型）</t>
        </is>
      </c>
      <c r="C2" s="1" t="inlineStr">
        <is>
          <t>在这里填写“成分(%)”（字符串型）</t>
        </is>
      </c>
      <c r="D2" s="1" t="inlineStr">
        <is>
          <t>在这里填写“碳含量(%)”（字符串型）</t>
        </is>
      </c>
    </row>
    <row r="3">
      <c r="A3" s="1" t="inlineStr">
        <is>
          <t>第2条数据的数据ID</t>
        </is>
      </c>
      <c r="B3" s="1" t="inlineStr">
        <is>
          <t>在这里填写“成分”（字符串型）</t>
        </is>
      </c>
      <c r="C3" s="1" t="inlineStr">
        <is>
          <t>在这里填写“成分(%)”（字符串型）</t>
        </is>
      </c>
      <c r="D3" s="1" t="inlineStr">
        <is>
          <t>在这里填写“碳含量(%)”（字符串型）</t>
        </is>
      </c>
    </row>
    <row r="4">
      <c r="A4" s="1" t="inlineStr">
        <is>
          <t>第3条数据的数据ID</t>
        </is>
      </c>
      <c r="B4" s="1" t="inlineStr">
        <is>
          <t>在这里填写“成分”（字符串型）</t>
        </is>
      </c>
      <c r="C4" s="1" t="inlineStr">
        <is>
          <t>在这里填写“成分(%)”（字符串型）</t>
        </is>
      </c>
      <c r="D4" s="1" t="inlineStr">
        <is>
          <t>在这里填写“碳含量(%)”（字符串型）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7.6" customWidth="1" min="1" max="1"/>
    <col width="56.34999999999999" customWidth="1" min="2" max="2"/>
    <col width="64.39999999999999" customWidth="1" min="3" max="3"/>
    <col width="67.84999999999999" customWidth="1" min="4" max="4"/>
    <col width="64.39999999999999" customWidth="1" min="5" max="5"/>
    <col width="64.39999999999999" customWidth="1" min="6" max="6"/>
    <col width="64.39999999999999" customWidth="1" min="7" max="7"/>
    <col width="64.39999999999999" customWidth="1" min="8" max="8"/>
    <col width="64.39999999999999" customWidth="1" min="9" max="9"/>
    <col width="64.39999999999999" customWidth="1" min="10" max="10"/>
    <col width="71.3" customWidth="1" min="11" max="11"/>
    <col width="58.65" customWidth="1" min="12" max="12"/>
    <col width="67.84999999999999" customWidth="1" min="13" max="13"/>
    <col width="58.65" customWidth="1" min="14" max="14"/>
    <col width="58.65" customWidth="1" min="15" max="15"/>
    <col width="64.39999999999999" customWidth="1" min="16" max="16"/>
    <col width="64.39999999999999" customWidth="1" min="17" max="17"/>
    <col width="60.95" customWidth="1" min="18" max="18"/>
    <col width="63.24999999999999" customWidth="1" min="19" max="19"/>
    <col width="71.3" customWidth="1" min="20" max="20"/>
    <col width="55.2" customWidth="1" min="21" max="21"/>
  </cols>
  <sheetData>
    <row r="1">
      <c r="A1" s="1" t="inlineStr">
        <is>
          <t>数据ID</t>
        </is>
      </c>
      <c r="B1" s="1" t="inlineStr">
        <is>
          <t>股骨柄信息.股骨柄-物理性能.硬度(HV)</t>
        </is>
      </c>
      <c r="C1" s="1" t="inlineStr">
        <is>
          <t>股骨柄信息.股骨柄-物理性能.接触应力(MPa)</t>
        </is>
      </c>
      <c r="D1" s="1" t="inlineStr">
        <is>
          <t>股骨柄信息.股骨柄-物理性能.表面粗糙度(μm)</t>
        </is>
      </c>
      <c r="E1" s="1" t="inlineStr">
        <is>
          <t>股骨柄信息.股骨柄-物理性能.弹性模量(GPa)</t>
        </is>
      </c>
      <c r="F1" s="1" t="inlineStr">
        <is>
          <t>股骨柄信息.股骨柄-物理性能.抗压强度(MPa)</t>
        </is>
      </c>
      <c r="G1" s="1" t="inlineStr">
        <is>
          <t>股骨柄信息.股骨柄-物理性能.抗拉强度(MPa)</t>
        </is>
      </c>
      <c r="H1" s="1" t="inlineStr">
        <is>
          <t>股骨柄信息.股骨柄-物理性能.屈服强度(MPa)</t>
        </is>
      </c>
      <c r="I1" s="1" t="inlineStr">
        <is>
          <t>股骨柄信息.股骨柄-物理性能.屈服应力(MPa)</t>
        </is>
      </c>
      <c r="J1" s="1" t="inlineStr">
        <is>
          <t>股骨柄信息.股骨柄-物理性能.疲劳强度(MPa)</t>
        </is>
      </c>
      <c r="K1" s="1" t="inlineStr">
        <is>
          <t>股骨柄信息.股骨柄-物理性能.断裂韧性(MPa·m1/2)</t>
        </is>
      </c>
      <c r="L1" s="1" t="inlineStr">
        <is>
          <t>股骨柄信息.股骨柄-物理性能.亲疏水性</t>
        </is>
      </c>
      <c r="M1" s="1" t="inlineStr">
        <is>
          <t>股骨柄信息.股骨柄-物理性能.表面电荷/势(mV)</t>
        </is>
      </c>
      <c r="N1" s="1" t="inlineStr">
        <is>
          <t>股骨柄信息.股骨柄-物理性能.蠕变常数</t>
        </is>
      </c>
      <c r="O1" s="1" t="inlineStr">
        <is>
          <t>股骨柄信息.股骨柄-物理性能.孔隙率(%)</t>
        </is>
      </c>
      <c r="P1" s="1" t="inlineStr">
        <is>
          <t>股骨柄信息.股骨柄-物理性能.孔径大小(μm)</t>
        </is>
      </c>
      <c r="Q1" s="1" t="inlineStr">
        <is>
          <t>股骨柄信息.股骨柄-物理性能.杨氏模量(GPa)</t>
        </is>
      </c>
      <c r="R1" s="1" t="inlineStr">
        <is>
          <t>股骨柄信息.股骨柄-物理性能.密度(Kg/m³)</t>
        </is>
      </c>
      <c r="S1" s="1" t="inlineStr">
        <is>
          <t>股骨柄信息.股骨柄-物理性能.剪切模量(Pa)</t>
        </is>
      </c>
      <c r="T1" s="1" t="inlineStr">
        <is>
          <t>股骨柄信息.股骨柄-物理性能.极限拉伸强度(MPa)</t>
        </is>
      </c>
      <c r="U1" s="1" t="inlineStr">
        <is>
          <t>股骨柄信息.股骨柄-物理性能.泊松比</t>
        </is>
      </c>
    </row>
    <row r="2">
      <c r="A2" s="1" t="inlineStr">
        <is>
          <t>第1条数据的数据ID</t>
        </is>
      </c>
      <c r="B2" s="1" t="inlineStr">
        <is>
          <t>在这里填写“硬度(HV)”（字符串型）</t>
        </is>
      </c>
      <c r="C2" s="1" t="inlineStr">
        <is>
          <t>在这里填写“接触应力(MPa)”（字符串型）</t>
        </is>
      </c>
      <c r="D2" s="1" t="inlineStr">
        <is>
          <t>在这里填写“表面粗糙度(μm)”（字符串型）</t>
        </is>
      </c>
      <c r="E2" s="1" t="inlineStr">
        <is>
          <t>在这里填写“弹性模量(GPa)”（字符串型）</t>
        </is>
      </c>
      <c r="F2" s="1" t="inlineStr">
        <is>
          <t>在这里填写“抗压强度(MPa)”（字符串型）</t>
        </is>
      </c>
      <c r="G2" s="1" t="inlineStr">
        <is>
          <t>在这里填写“抗拉强度(MPa)”（字符串型）</t>
        </is>
      </c>
      <c r="H2" s="1" t="inlineStr">
        <is>
          <t>在这里填写“屈服强度(MPa)”（字符串型）</t>
        </is>
      </c>
      <c r="I2" s="1" t="inlineStr">
        <is>
          <t>在这里填写“屈服应力(MPa)”（字符串型）</t>
        </is>
      </c>
      <c r="J2" s="1" t="inlineStr">
        <is>
          <t>在这里填写“疲劳强度(MPa)”（字符串型）</t>
        </is>
      </c>
      <c r="K2" s="1" t="inlineStr">
        <is>
          <t>在这里填写“断裂韧性(MPa·m1/2)”（字符串型）</t>
        </is>
      </c>
      <c r="L2" s="1" t="inlineStr">
        <is>
          <t>在这里填写“亲疏水性”（字符串型）</t>
        </is>
      </c>
      <c r="M2" s="1" t="inlineStr">
        <is>
          <t>在这里填写“表面电荷/势(mV)”（字符串型）</t>
        </is>
      </c>
      <c r="N2" s="1" t="inlineStr">
        <is>
          <t>在这里填写“蠕变常数”（字符串型）</t>
        </is>
      </c>
      <c r="O2" s="1" t="inlineStr">
        <is>
          <t>在这里填写“孔隙率(%)”（字符串型）</t>
        </is>
      </c>
      <c r="P2" s="1" t="inlineStr">
        <is>
          <t>在这里填写“孔径大小(μm)”（字符串型）</t>
        </is>
      </c>
      <c r="Q2" s="1" t="inlineStr">
        <is>
          <t>在这里填写“杨氏模量(GPa)”（字符串型）</t>
        </is>
      </c>
      <c r="R2" s="1" t="inlineStr">
        <is>
          <t>在这里填写“密度(Kg/m³)”（字符串型）</t>
        </is>
      </c>
      <c r="S2" s="1" t="inlineStr">
        <is>
          <t>在这里填写“剪切模量(Pa)”（字符串型）</t>
        </is>
      </c>
      <c r="T2" s="1" t="inlineStr">
        <is>
          <t>在这里填写“极限拉伸强度(MPa)”（字符串型）</t>
        </is>
      </c>
      <c r="U2" s="1" t="inlineStr">
        <is>
          <t>在这里填写“泊松比”（字符串型）</t>
        </is>
      </c>
    </row>
    <row r="3">
      <c r="A3" s="1" t="inlineStr">
        <is>
          <t>第2条数据的数据ID</t>
        </is>
      </c>
      <c r="B3" s="1" t="inlineStr">
        <is>
          <t>在这里填写“硬度(HV)”（字符串型）</t>
        </is>
      </c>
      <c r="C3" s="1" t="inlineStr">
        <is>
          <t>在这里填写“接触应力(MPa)”（字符串型）</t>
        </is>
      </c>
      <c r="D3" s="1" t="inlineStr">
        <is>
          <t>在这里填写“表面粗糙度(μm)”（字符串型）</t>
        </is>
      </c>
      <c r="E3" s="1" t="inlineStr">
        <is>
          <t>在这里填写“弹性模量(GPa)”（字符串型）</t>
        </is>
      </c>
      <c r="F3" s="1" t="inlineStr">
        <is>
          <t>在这里填写“抗压强度(MPa)”（字符串型）</t>
        </is>
      </c>
      <c r="G3" s="1" t="inlineStr">
        <is>
          <t>在这里填写“抗拉强度(MPa)”（字符串型）</t>
        </is>
      </c>
      <c r="H3" s="1" t="inlineStr">
        <is>
          <t>在这里填写“屈服强度(MPa)”（字符串型）</t>
        </is>
      </c>
      <c r="I3" s="1" t="inlineStr">
        <is>
          <t>在这里填写“屈服应力(MPa)”（字符串型）</t>
        </is>
      </c>
      <c r="J3" s="1" t="inlineStr">
        <is>
          <t>在这里填写“疲劳强度(MPa)”（字符串型）</t>
        </is>
      </c>
      <c r="K3" s="1" t="inlineStr">
        <is>
          <t>在这里填写“断裂韧性(MPa·m1/2)”（字符串型）</t>
        </is>
      </c>
      <c r="L3" s="1" t="inlineStr">
        <is>
          <t>在这里填写“亲疏水性”（字符串型）</t>
        </is>
      </c>
      <c r="M3" s="1" t="inlineStr">
        <is>
          <t>在这里填写“表面电荷/势(mV)”（字符串型）</t>
        </is>
      </c>
      <c r="N3" s="1" t="inlineStr">
        <is>
          <t>在这里填写“蠕变常数”（字符串型）</t>
        </is>
      </c>
      <c r="O3" s="1" t="inlineStr">
        <is>
          <t>在这里填写“孔隙率(%)”（字符串型）</t>
        </is>
      </c>
      <c r="P3" s="1" t="inlineStr">
        <is>
          <t>在这里填写“孔径大小(μm)”（字符串型）</t>
        </is>
      </c>
      <c r="Q3" s="1" t="inlineStr">
        <is>
          <t>在这里填写“杨氏模量(GPa)”（字符串型）</t>
        </is>
      </c>
      <c r="R3" s="1" t="inlineStr">
        <is>
          <t>在这里填写“密度(Kg/m³)”（字符串型）</t>
        </is>
      </c>
      <c r="S3" s="1" t="inlineStr">
        <is>
          <t>在这里填写“剪切模量(Pa)”（字符串型）</t>
        </is>
      </c>
      <c r="T3" s="1" t="inlineStr">
        <is>
          <t>在这里填写“极限拉伸强度(MPa)”（字符串型）</t>
        </is>
      </c>
      <c r="U3" s="1" t="inlineStr">
        <is>
          <t>在这里填写“泊松比”（字符串型）</t>
        </is>
      </c>
    </row>
    <row r="4">
      <c r="A4" s="1" t="inlineStr">
        <is>
          <t>第3条数据的数据ID</t>
        </is>
      </c>
      <c r="B4" s="1" t="inlineStr">
        <is>
          <t>在这里填写“硬度(HV)”（字符串型）</t>
        </is>
      </c>
      <c r="C4" s="1" t="inlineStr">
        <is>
          <t>在这里填写“接触应力(MPa)”（字符串型）</t>
        </is>
      </c>
      <c r="D4" s="1" t="inlineStr">
        <is>
          <t>在这里填写“表面粗糙度(μm)”（字符串型）</t>
        </is>
      </c>
      <c r="E4" s="1" t="inlineStr">
        <is>
          <t>在这里填写“弹性模量(GPa)”（字符串型）</t>
        </is>
      </c>
      <c r="F4" s="1" t="inlineStr">
        <is>
          <t>在这里填写“抗压强度(MPa)”（字符串型）</t>
        </is>
      </c>
      <c r="G4" s="1" t="inlineStr">
        <is>
          <t>在这里填写“抗拉强度(MPa)”（字符串型）</t>
        </is>
      </c>
      <c r="H4" s="1" t="inlineStr">
        <is>
          <t>在这里填写“屈服强度(MPa)”（字符串型）</t>
        </is>
      </c>
      <c r="I4" s="1" t="inlineStr">
        <is>
          <t>在这里填写“屈服应力(MPa)”（字符串型）</t>
        </is>
      </c>
      <c r="J4" s="1" t="inlineStr">
        <is>
          <t>在这里填写“疲劳强度(MPa)”（字符串型）</t>
        </is>
      </c>
      <c r="K4" s="1" t="inlineStr">
        <is>
          <t>在这里填写“断裂韧性(MPa·m1/2)”（字符串型）</t>
        </is>
      </c>
      <c r="L4" s="1" t="inlineStr">
        <is>
          <t>在这里填写“亲疏水性”（字符串型）</t>
        </is>
      </c>
      <c r="M4" s="1" t="inlineStr">
        <is>
          <t>在这里填写“表面电荷/势(mV)”（字符串型）</t>
        </is>
      </c>
      <c r="N4" s="1" t="inlineStr">
        <is>
          <t>在这里填写“蠕变常数”（字符串型）</t>
        </is>
      </c>
      <c r="O4" s="1" t="inlineStr">
        <is>
          <t>在这里填写“孔隙率(%)”（字符串型）</t>
        </is>
      </c>
      <c r="P4" s="1" t="inlineStr">
        <is>
          <t>在这里填写“孔径大小(μm)”（字符串型）</t>
        </is>
      </c>
      <c r="Q4" s="1" t="inlineStr">
        <is>
          <t>在这里填写“杨氏模量(GPa)”（字符串型）</t>
        </is>
      </c>
      <c r="R4" s="1" t="inlineStr">
        <is>
          <t>在这里填写“密度(Kg/m³)”（字符串型）</t>
        </is>
      </c>
      <c r="S4" s="1" t="inlineStr">
        <is>
          <t>在这里填写“剪切模量(Pa)”（字符串型）</t>
        </is>
      </c>
      <c r="T4" s="1" t="inlineStr">
        <is>
          <t>在这里填写“极限拉伸强度(MPa)”（字符串型）</t>
        </is>
      </c>
      <c r="U4" s="1" t="inlineStr">
        <is>
          <t>在这里填写“泊松比”（字符串型）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.6" customWidth="1" min="1" max="1"/>
    <col width="64.39999999999999" customWidth="1" min="2" max="2"/>
    <col width="58.65" customWidth="1" min="3" max="3"/>
    <col width="126.5" customWidth="1" min="4" max="4"/>
    <col width="65.55" customWidth="1" min="5" max="5"/>
    <col width="140.3" customWidth="1" min="6" max="6"/>
    <col width="79.34999999999999" customWidth="1" min="7" max="7"/>
  </cols>
  <sheetData>
    <row r="1">
      <c r="A1" s="1" t="inlineStr">
        <is>
          <t>数据ID</t>
        </is>
      </c>
      <c r="B1" s="1" t="inlineStr">
        <is>
          <t>股骨柄信息.股骨柄-微观组织.晶粒大小(μm)</t>
        </is>
      </c>
      <c r="C1" s="1" t="inlineStr">
        <is>
          <t>股骨柄信息.股骨柄-微观组织.晶粒取向</t>
        </is>
      </c>
      <c r="D1" s="1" t="inlineStr">
        <is>
          <t>股骨柄信息.股骨柄-微观组织.晶粒形貌</t>
        </is>
      </c>
      <c r="E1" s="1" t="inlineStr">
        <is>
          <t>股骨柄信息.股骨柄-微观组织.晶粒形貌描述</t>
        </is>
      </c>
      <c r="F1" s="1" t="inlineStr">
        <is>
          <t>股骨柄信息.股骨柄-微观组织.碳化物的分布情况</t>
        </is>
      </c>
      <c r="G1" s="1" t="inlineStr">
        <is>
          <t>股骨柄信息.股骨柄-微观组织.碳化物的分布情况描述</t>
        </is>
      </c>
    </row>
    <row r="2">
      <c r="A2" s="1" t="inlineStr">
        <is>
          <t>第1条数据的数据ID</t>
        </is>
      </c>
      <c r="B2" s="1" t="inlineStr">
        <is>
          <t>在这里填写“晶粒大小(μm)”（字符串型）</t>
        </is>
      </c>
      <c r="C2" s="1" t="inlineStr">
        <is>
          <t>在这里填写“晶粒取向”（字符串型）</t>
        </is>
      </c>
      <c r="D2" s="1" t="inlineStr">
        <is>
          <t>在这里填写“晶粒形貌”（图片型）（请填写文件或图片相对于本Excel文件的路径）</t>
        </is>
      </c>
      <c r="E2" s="1" t="inlineStr">
        <is>
          <t>在这里填写“晶粒形貌描述”（字符串型）</t>
        </is>
      </c>
      <c r="F2" s="1" t="inlineStr">
        <is>
          <t>在这里填写“碳化物的分布情况”（图片型）（请填写文件或图片相对于本Excel文件的路径）</t>
        </is>
      </c>
      <c r="G2" s="1" t="inlineStr">
        <is>
          <t>在这里填写“碳化物的分布情况描述”（字符串型）</t>
        </is>
      </c>
    </row>
    <row r="3">
      <c r="A3" s="1" t="inlineStr">
        <is>
          <t>第2条数据的数据ID</t>
        </is>
      </c>
      <c r="B3" s="1" t="inlineStr">
        <is>
          <t>在这里填写“晶粒大小(μm)”（字符串型）</t>
        </is>
      </c>
      <c r="C3" s="1" t="inlineStr">
        <is>
          <t>在这里填写“晶粒取向”（字符串型）</t>
        </is>
      </c>
      <c r="D3" s="1" t="inlineStr">
        <is>
          <t>在这里填写“晶粒形貌”（图片型）（请填写文件或图片相对于本Excel文件的路径）</t>
        </is>
      </c>
      <c r="E3" s="1" t="inlineStr">
        <is>
          <t>在这里填写“晶粒形貌描述”（字符串型）</t>
        </is>
      </c>
      <c r="F3" s="1" t="inlineStr">
        <is>
          <t>在这里填写“碳化物的分布情况”（图片型）（请填写文件或图片相对于本Excel文件的路径）</t>
        </is>
      </c>
      <c r="G3" s="1" t="inlineStr">
        <is>
          <t>在这里填写“碳化物的分布情况描述”（字符串型）</t>
        </is>
      </c>
    </row>
    <row r="4">
      <c r="A4" s="1" t="inlineStr">
        <is>
          <t>第3条数据的数据ID</t>
        </is>
      </c>
      <c r="B4" s="1" t="inlineStr">
        <is>
          <t>在这里填写“晶粒大小(μm)”（字符串型）</t>
        </is>
      </c>
      <c r="C4" s="1" t="inlineStr">
        <is>
          <t>在这里填写“晶粒取向”（字符串型）</t>
        </is>
      </c>
      <c r="D4" s="1" t="inlineStr">
        <is>
          <t>在这里填写“晶粒形貌”（图片型）（请填写文件或图片相对于本Excel文件的路径）</t>
        </is>
      </c>
      <c r="E4" s="1" t="inlineStr">
        <is>
          <t>在这里填写“晶粒形貌描述”（字符串型）</t>
        </is>
      </c>
      <c r="F4" s="1" t="inlineStr">
        <is>
          <t>在这里填写“碳化物的分布情况”（图片型）（请填写文件或图片相对于本Excel文件的路径）</t>
        </is>
      </c>
      <c r="G4" s="1" t="inlineStr">
        <is>
          <t>在这里填写“碳化物的分布情况描述”（字符串型）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.6" customWidth="1" min="1" max="1"/>
    <col width="58.65" customWidth="1" min="2" max="2"/>
    <col width="58.65" customWidth="1" min="3" max="3"/>
    <col width="55.2" customWidth="1" min="4" max="4"/>
    <col width="55.2" customWidth="1" min="5" max="5"/>
    <col width="58.65" customWidth="1" min="6" max="6"/>
    <col width="58.65" customWidth="1" min="7" max="7"/>
    <col width="58.65" customWidth="1" min="8" max="8"/>
  </cols>
  <sheetData>
    <row r="1">
      <c r="A1" s="1" t="inlineStr">
        <is>
          <t>数据ID</t>
        </is>
      </c>
      <c r="B1" s="1" t="inlineStr">
        <is>
          <t>内衬信息.内衬-基本信息.材料编号</t>
        </is>
      </c>
      <c r="C1" s="1" t="inlineStr">
        <is>
          <t>内衬信息.内衬-基本信息.材料类别</t>
        </is>
      </c>
      <c r="D1" s="1" t="inlineStr">
        <is>
          <t>内衬信息.内衬-基本信息.分子量</t>
        </is>
      </c>
      <c r="E1" s="1" t="inlineStr">
        <is>
          <t>内衬信息.内衬-基本信息.结晶度</t>
        </is>
      </c>
      <c r="F1" s="1" t="inlineStr">
        <is>
          <t>内衬信息.内衬-基本信息.改性填料</t>
        </is>
      </c>
      <c r="G1" s="1" t="inlineStr">
        <is>
          <t>内衬信息.内衬-基本信息.加工工艺</t>
        </is>
      </c>
      <c r="H1" s="1" t="inlineStr">
        <is>
          <t>内衬信息.内衬-基本信息.表面处理</t>
        </is>
      </c>
    </row>
    <row r="2">
      <c r="A2" s="1" t="inlineStr">
        <is>
          <t>第1条数据的数据ID</t>
        </is>
      </c>
      <c r="B2" s="1" t="inlineStr">
        <is>
          <t>在这里填写“材料编号”（字符串型）</t>
        </is>
      </c>
      <c r="C2" s="1" t="inlineStr">
        <is>
          <t>在这里填写“材料类别”（字符串型）</t>
        </is>
      </c>
      <c r="D2" s="1" t="inlineStr">
        <is>
          <t>在这里填写“分子量”（字符串型）</t>
        </is>
      </c>
      <c r="E2" s="1" t="inlineStr">
        <is>
          <t>在这里填写“结晶度”（字符串型）</t>
        </is>
      </c>
      <c r="F2" s="1" t="inlineStr">
        <is>
          <t>在这里填写“改性填料”（字符串型）</t>
        </is>
      </c>
      <c r="G2" s="1" t="inlineStr">
        <is>
          <t>在这里填写“加工工艺”（字符串型）</t>
        </is>
      </c>
      <c r="H2" s="1" t="inlineStr">
        <is>
          <t>在这里填写“表面处理”（字符串型）</t>
        </is>
      </c>
    </row>
    <row r="3">
      <c r="A3" s="1" t="inlineStr">
        <is>
          <t>第2条数据的数据ID</t>
        </is>
      </c>
      <c r="B3" s="1" t="inlineStr">
        <is>
          <t>在这里填写“材料编号”（字符串型）</t>
        </is>
      </c>
      <c r="C3" s="1" t="inlineStr">
        <is>
          <t>在这里填写“材料类别”（字符串型）</t>
        </is>
      </c>
      <c r="D3" s="1" t="inlineStr">
        <is>
          <t>在这里填写“分子量”（字符串型）</t>
        </is>
      </c>
      <c r="E3" s="1" t="inlineStr">
        <is>
          <t>在这里填写“结晶度”（字符串型）</t>
        </is>
      </c>
      <c r="F3" s="1" t="inlineStr">
        <is>
          <t>在这里填写“改性填料”（字符串型）</t>
        </is>
      </c>
      <c r="G3" s="1" t="inlineStr">
        <is>
          <t>在这里填写“加工工艺”（字符串型）</t>
        </is>
      </c>
      <c r="H3" s="1" t="inlineStr">
        <is>
          <t>在这里填写“表面处理”（字符串型）</t>
        </is>
      </c>
    </row>
    <row r="4">
      <c r="A4" s="1" t="inlineStr">
        <is>
          <t>第3条数据的数据ID</t>
        </is>
      </c>
      <c r="B4" s="1" t="inlineStr">
        <is>
          <t>在这里填写“材料编号”（字符串型）</t>
        </is>
      </c>
      <c r="C4" s="1" t="inlineStr">
        <is>
          <t>在这里填写“材料类别”（字符串型）</t>
        </is>
      </c>
      <c r="D4" s="1" t="inlineStr">
        <is>
          <t>在这里填写“分子量”（字符串型）</t>
        </is>
      </c>
      <c r="E4" s="1" t="inlineStr">
        <is>
          <t>在这里填写“结晶度”（字符串型）</t>
        </is>
      </c>
      <c r="F4" s="1" t="inlineStr">
        <is>
          <t>在这里填写“改性填料”（字符串型）</t>
        </is>
      </c>
      <c r="G4" s="1" t="inlineStr">
        <is>
          <t>在这里填写“加工工艺”（字符串型）</t>
        </is>
      </c>
      <c r="H4" s="1" t="inlineStr">
        <is>
          <t>在这里填写“表面处理”（字符串型）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.6" customWidth="1" min="1" max="1"/>
    <col width="69" customWidth="1" min="2" max="2"/>
    <col width="78.19999999999999" customWidth="1" min="3" max="3"/>
  </cols>
  <sheetData>
    <row r="1">
      <c r="A1" s="1" t="inlineStr">
        <is>
          <t>数据ID</t>
        </is>
      </c>
      <c r="B1" s="1" t="inlineStr">
        <is>
          <t>内衬信息.内衬-改性填料.改性填料的种类</t>
        </is>
      </c>
      <c r="C1" s="1" t="inlineStr">
        <is>
          <t>内衬信息.内衬-改性填料.改性填料的添加量(wt%)</t>
        </is>
      </c>
    </row>
    <row r="2">
      <c r="A2" s="1" t="inlineStr">
        <is>
          <t>第1条数据的数据ID</t>
        </is>
      </c>
      <c r="B2" s="1" t="inlineStr">
        <is>
          <t>在这里填写“改性填料的种类”（字符串型）</t>
        </is>
      </c>
      <c r="C2" s="1" t="inlineStr">
        <is>
          <t>在这里填写“改性填料的添加量(wt%)”（字符串型）</t>
        </is>
      </c>
    </row>
    <row r="3">
      <c r="A3" s="1" t="inlineStr">
        <is>
          <t>第2条数据的数据ID</t>
        </is>
      </c>
      <c r="B3" s="1" t="inlineStr">
        <is>
          <t>在这里填写“改性填料的种类”（字符串型）</t>
        </is>
      </c>
      <c r="C3" s="1" t="inlineStr">
        <is>
          <t>在这里填写“改性填料的添加量(wt%)”（字符串型）</t>
        </is>
      </c>
    </row>
    <row r="4">
      <c r="A4" s="1" t="inlineStr">
        <is>
          <t>第3条数据的数据ID</t>
        </is>
      </c>
      <c r="B4" s="1" t="inlineStr">
        <is>
          <t>在这里填写“改性填料的种类”（字符串型）</t>
        </is>
      </c>
      <c r="C4" s="1" t="inlineStr">
        <is>
          <t>在这里填写“改性填料的添加量(wt%)”（字符串型）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.6" customWidth="1" min="1" max="1"/>
    <col width="58.65" customWidth="1" min="2" max="2"/>
    <col width="51.74999999999999" customWidth="1" min="3" max="3"/>
    <col width="55.2" customWidth="1" min="4" max="4"/>
  </cols>
  <sheetData>
    <row r="1">
      <c r="A1" s="1" t="inlineStr">
        <is>
          <t>数据ID</t>
        </is>
      </c>
      <c r="B1" s="1" t="inlineStr">
        <is>
          <t>内衬信息.内衬-成分组成.材料名称</t>
        </is>
      </c>
      <c r="C1" s="1" t="inlineStr">
        <is>
          <t>内衬信息.内衬-成分组成.成分</t>
        </is>
      </c>
      <c r="D1" s="1" t="inlineStr">
        <is>
          <t>内衬信息.内衬-成分组成.组成(%)</t>
        </is>
      </c>
    </row>
    <row r="2">
      <c r="A2" s="1" t="inlineStr">
        <is>
          <t>第1条数据的数据ID</t>
        </is>
      </c>
      <c r="B2" s="1" t="inlineStr">
        <is>
          <t>在这里填写“材料名称”（字符串型）</t>
        </is>
      </c>
      <c r="C2" s="1" t="inlineStr">
        <is>
          <t>在这里填写“成分”（字符串型）</t>
        </is>
      </c>
      <c r="D2" s="1" t="inlineStr">
        <is>
          <t>在这里填写“组成(%)”（字符串型）</t>
        </is>
      </c>
    </row>
    <row r="3">
      <c r="A3" s="1" t="inlineStr">
        <is>
          <t>第2条数据的数据ID</t>
        </is>
      </c>
      <c r="B3" s="1" t="inlineStr">
        <is>
          <t>在这里填写“材料名称”（字符串型）</t>
        </is>
      </c>
      <c r="C3" s="1" t="inlineStr">
        <is>
          <t>在这里填写“成分”（字符串型）</t>
        </is>
      </c>
      <c r="D3" s="1" t="inlineStr">
        <is>
          <t>在这里填写“组成(%)”（字符串型）</t>
        </is>
      </c>
    </row>
    <row r="4">
      <c r="A4" s="1" t="inlineStr">
        <is>
          <t>第3条数据的数据ID</t>
        </is>
      </c>
      <c r="B4" s="1" t="inlineStr">
        <is>
          <t>在这里填写“材料名称”（字符串型）</t>
        </is>
      </c>
      <c r="C4" s="1" t="inlineStr">
        <is>
          <t>在这里填写“成分”（字符串型）</t>
        </is>
      </c>
      <c r="D4" s="1" t="inlineStr">
        <is>
          <t>在这里填写“组成(%)”（字符串型）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7.6" customWidth="1" min="1" max="1"/>
    <col width="56.34999999999999" customWidth="1" min="2" max="2"/>
    <col width="64.39999999999999" customWidth="1" min="3" max="3"/>
    <col width="67.84999999999999" customWidth="1" min="4" max="4"/>
    <col width="64.39999999999999" customWidth="1" min="5" max="5"/>
    <col width="64.39999999999999" customWidth="1" min="6" max="6"/>
    <col width="64.39999999999999" customWidth="1" min="7" max="7"/>
    <col width="64.39999999999999" customWidth="1" min="8" max="8"/>
    <col width="64.39999999999999" customWidth="1" min="9" max="9"/>
    <col width="64.39999999999999" customWidth="1" min="10" max="10"/>
    <col width="71.3" customWidth="1" min="11" max="11"/>
    <col width="58.65" customWidth="1" min="12" max="12"/>
    <col width="67.84999999999999" customWidth="1" min="13" max="13"/>
    <col width="58.65" customWidth="1" min="14" max="14"/>
    <col width="60.95" customWidth="1" min="15" max="15"/>
    <col width="63.24999999999999" customWidth="1" min="16" max="16"/>
    <col width="71.3" customWidth="1" min="17" max="17"/>
    <col width="55.2" customWidth="1" min="18" max="18"/>
  </cols>
  <sheetData>
    <row r="1">
      <c r="A1" s="1" t="inlineStr">
        <is>
          <t>数据ID</t>
        </is>
      </c>
      <c r="B1" s="1" t="inlineStr">
        <is>
          <t>内衬信息.内衬-物理性能.硬度(HV)</t>
        </is>
      </c>
      <c r="C1" s="1" t="inlineStr">
        <is>
          <t>内衬信息.内衬-物理性能.接触应力(MPa)</t>
        </is>
      </c>
      <c r="D1" s="1" t="inlineStr">
        <is>
          <t>内衬信息.内衬-物理性能.表面粗糙度(μm)</t>
        </is>
      </c>
      <c r="E1" s="1" t="inlineStr">
        <is>
          <t>内衬信息.内衬-物理性能.弹性模量(GPa)</t>
        </is>
      </c>
      <c r="F1" s="1" t="inlineStr">
        <is>
          <t>内衬信息.内衬-物理性能.抗压强度(MPa)</t>
        </is>
      </c>
      <c r="G1" s="1" t="inlineStr">
        <is>
          <t>内衬信息.内衬-物理性能.抗拉强度(MPa)</t>
        </is>
      </c>
      <c r="H1" s="1" t="inlineStr">
        <is>
          <t>内衬信息.内衬-物理性能.屈服强度(MPa)</t>
        </is>
      </c>
      <c r="I1" s="1" t="inlineStr">
        <is>
          <t>内衬信息.内衬-物理性能.屈服应力(MPa)</t>
        </is>
      </c>
      <c r="J1" s="1" t="inlineStr">
        <is>
          <t>内衬信息.内衬-物理性能.疲劳强度(MPa)</t>
        </is>
      </c>
      <c r="K1" s="1" t="inlineStr">
        <is>
          <t>内衬信息.内衬-物理性能.断裂韧性(MPa·m1/2)</t>
        </is>
      </c>
      <c r="L1" s="1" t="inlineStr">
        <is>
          <t>内衬信息.内衬-物理性能.亲疏水性</t>
        </is>
      </c>
      <c r="M1" s="1" t="inlineStr">
        <is>
          <t>内衬信息.内衬-物理性能.表面电荷/势(mV)</t>
        </is>
      </c>
      <c r="N1" s="1" t="inlineStr">
        <is>
          <t>内衬信息.内衬-物理性能.蠕变常数</t>
        </is>
      </c>
      <c r="O1" s="1" t="inlineStr">
        <is>
          <t>内衬信息.内衬-物理性能.密度(Kg/m³)</t>
        </is>
      </c>
      <c r="P1" s="1" t="inlineStr">
        <is>
          <t>内衬信息.内衬-物理性能.剪切模量(Pa)</t>
        </is>
      </c>
      <c r="Q1" s="1" t="inlineStr">
        <is>
          <t>内衬信息.内衬-物理性能.极限拉伸强度(MPa)</t>
        </is>
      </c>
      <c r="R1" s="1" t="inlineStr">
        <is>
          <t>内衬信息.内衬-物理性能.泊松比</t>
        </is>
      </c>
    </row>
    <row r="2">
      <c r="A2" s="1" t="inlineStr">
        <is>
          <t>第1条数据的数据ID</t>
        </is>
      </c>
      <c r="B2" s="1" t="inlineStr">
        <is>
          <t>在这里填写“硬度(HV)”（字符串型）</t>
        </is>
      </c>
      <c r="C2" s="1" t="inlineStr">
        <is>
          <t>在这里填写“接触应力(MPa)”（字符串型）</t>
        </is>
      </c>
      <c r="D2" s="1" t="inlineStr">
        <is>
          <t>在这里填写“表面粗糙度(μm)”（字符串型）</t>
        </is>
      </c>
      <c r="E2" s="1" t="inlineStr">
        <is>
          <t>在这里填写“弹性模量(GPa)”（字符串型）</t>
        </is>
      </c>
      <c r="F2" s="1" t="inlineStr">
        <is>
          <t>在这里填写“抗压强度(MPa)”（字符串型）</t>
        </is>
      </c>
      <c r="G2" s="1" t="inlineStr">
        <is>
          <t>在这里填写“抗拉强度(MPa)”（字符串型）</t>
        </is>
      </c>
      <c r="H2" s="1" t="inlineStr">
        <is>
          <t>在这里填写“屈服强度(MPa)”（字符串型）</t>
        </is>
      </c>
      <c r="I2" s="1" t="inlineStr">
        <is>
          <t>在这里填写“屈服应力(MPa)”（字符串型）</t>
        </is>
      </c>
      <c r="J2" s="1" t="inlineStr">
        <is>
          <t>在这里填写“疲劳强度(MPa)”（字符串型）</t>
        </is>
      </c>
      <c r="K2" s="1" t="inlineStr">
        <is>
          <t>在这里填写“断裂韧性(MPa·m1/2)”（字符串型）</t>
        </is>
      </c>
      <c r="L2" s="1" t="inlineStr">
        <is>
          <t>在这里填写“亲疏水性”（字符串型）</t>
        </is>
      </c>
      <c r="M2" s="1" t="inlineStr">
        <is>
          <t>在这里填写“表面电荷/势(mV)”（字符串型）</t>
        </is>
      </c>
      <c r="N2" s="1" t="inlineStr">
        <is>
          <t>在这里填写“蠕变常数”（字符串型）</t>
        </is>
      </c>
      <c r="O2" s="1" t="inlineStr">
        <is>
          <t>在这里填写“密度(Kg/m³)”（字符串型）</t>
        </is>
      </c>
      <c r="P2" s="1" t="inlineStr">
        <is>
          <t>在这里填写“剪切模量(Pa)”（字符串型）</t>
        </is>
      </c>
      <c r="Q2" s="1" t="inlineStr">
        <is>
          <t>在这里填写“极限拉伸强度(MPa)”（字符串型）</t>
        </is>
      </c>
      <c r="R2" s="1" t="inlineStr">
        <is>
          <t>在这里填写“泊松比”（字符串型）</t>
        </is>
      </c>
    </row>
    <row r="3">
      <c r="A3" s="1" t="inlineStr">
        <is>
          <t>第2条数据的数据ID</t>
        </is>
      </c>
      <c r="B3" s="1" t="inlineStr">
        <is>
          <t>在这里填写“硬度(HV)”（字符串型）</t>
        </is>
      </c>
      <c r="C3" s="1" t="inlineStr">
        <is>
          <t>在这里填写“接触应力(MPa)”（字符串型）</t>
        </is>
      </c>
      <c r="D3" s="1" t="inlineStr">
        <is>
          <t>在这里填写“表面粗糙度(μm)”（字符串型）</t>
        </is>
      </c>
      <c r="E3" s="1" t="inlineStr">
        <is>
          <t>在这里填写“弹性模量(GPa)”（字符串型）</t>
        </is>
      </c>
      <c r="F3" s="1" t="inlineStr">
        <is>
          <t>在这里填写“抗压强度(MPa)”（字符串型）</t>
        </is>
      </c>
      <c r="G3" s="1" t="inlineStr">
        <is>
          <t>在这里填写“抗拉强度(MPa)”（字符串型）</t>
        </is>
      </c>
      <c r="H3" s="1" t="inlineStr">
        <is>
          <t>在这里填写“屈服强度(MPa)”（字符串型）</t>
        </is>
      </c>
      <c r="I3" s="1" t="inlineStr">
        <is>
          <t>在这里填写“屈服应力(MPa)”（字符串型）</t>
        </is>
      </c>
      <c r="J3" s="1" t="inlineStr">
        <is>
          <t>在这里填写“疲劳强度(MPa)”（字符串型）</t>
        </is>
      </c>
      <c r="K3" s="1" t="inlineStr">
        <is>
          <t>在这里填写“断裂韧性(MPa·m1/2)”（字符串型）</t>
        </is>
      </c>
      <c r="L3" s="1" t="inlineStr">
        <is>
          <t>在这里填写“亲疏水性”（字符串型）</t>
        </is>
      </c>
      <c r="M3" s="1" t="inlineStr">
        <is>
          <t>在这里填写“表面电荷/势(mV)”（字符串型）</t>
        </is>
      </c>
      <c r="N3" s="1" t="inlineStr">
        <is>
          <t>在这里填写“蠕变常数”（字符串型）</t>
        </is>
      </c>
      <c r="O3" s="1" t="inlineStr">
        <is>
          <t>在这里填写“密度(Kg/m³)”（字符串型）</t>
        </is>
      </c>
      <c r="P3" s="1" t="inlineStr">
        <is>
          <t>在这里填写“剪切模量(Pa)”（字符串型）</t>
        </is>
      </c>
      <c r="Q3" s="1" t="inlineStr">
        <is>
          <t>在这里填写“极限拉伸强度(MPa)”（字符串型）</t>
        </is>
      </c>
      <c r="R3" s="1" t="inlineStr">
        <is>
          <t>在这里填写“泊松比”（字符串型）</t>
        </is>
      </c>
    </row>
    <row r="4">
      <c r="A4" s="1" t="inlineStr">
        <is>
          <t>第3条数据的数据ID</t>
        </is>
      </c>
      <c r="B4" s="1" t="inlineStr">
        <is>
          <t>在这里填写“硬度(HV)”（字符串型）</t>
        </is>
      </c>
      <c r="C4" s="1" t="inlineStr">
        <is>
          <t>在这里填写“接触应力(MPa)”（字符串型）</t>
        </is>
      </c>
      <c r="D4" s="1" t="inlineStr">
        <is>
          <t>在这里填写“表面粗糙度(μm)”（字符串型）</t>
        </is>
      </c>
      <c r="E4" s="1" t="inlineStr">
        <is>
          <t>在这里填写“弹性模量(GPa)”（字符串型）</t>
        </is>
      </c>
      <c r="F4" s="1" t="inlineStr">
        <is>
          <t>在这里填写“抗压强度(MPa)”（字符串型）</t>
        </is>
      </c>
      <c r="G4" s="1" t="inlineStr">
        <is>
          <t>在这里填写“抗拉强度(MPa)”（字符串型）</t>
        </is>
      </c>
      <c r="H4" s="1" t="inlineStr">
        <is>
          <t>在这里填写“屈服强度(MPa)”（字符串型）</t>
        </is>
      </c>
      <c r="I4" s="1" t="inlineStr">
        <is>
          <t>在这里填写“屈服应力(MPa)”（字符串型）</t>
        </is>
      </c>
      <c r="J4" s="1" t="inlineStr">
        <is>
          <t>在这里填写“疲劳强度(MPa)”（字符串型）</t>
        </is>
      </c>
      <c r="K4" s="1" t="inlineStr">
        <is>
          <t>在这里填写“断裂韧性(MPa·m1/2)”（字符串型）</t>
        </is>
      </c>
      <c r="L4" s="1" t="inlineStr">
        <is>
          <t>在这里填写“亲疏水性”（字符串型）</t>
        </is>
      </c>
      <c r="M4" s="1" t="inlineStr">
        <is>
          <t>在这里填写“表面电荷/势(mV)”（字符串型）</t>
        </is>
      </c>
      <c r="N4" s="1" t="inlineStr">
        <is>
          <t>在这里填写“蠕变常数”（字符串型）</t>
        </is>
      </c>
      <c r="O4" s="1" t="inlineStr">
        <is>
          <t>在这里填写“密度(Kg/m³)”（字符串型）</t>
        </is>
      </c>
      <c r="P4" s="1" t="inlineStr">
        <is>
          <t>在这里填写“剪切模量(Pa)”（字符串型）</t>
        </is>
      </c>
      <c r="Q4" s="1" t="inlineStr">
        <is>
          <t>在这里填写“极限拉伸强度(MPa)”（字符串型）</t>
        </is>
      </c>
      <c r="R4" s="1" t="inlineStr">
        <is>
          <t>在这里填写“泊松比”（字符串型）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7.6" customWidth="1" min="1" max="1"/>
    <col width="56.34999999999999" customWidth="1" min="2" max="2"/>
    <col width="57.49999999999999" customWidth="1" min="3" max="3"/>
    <col width="66.69999999999999" customWidth="1" min="4" max="4"/>
    <col width="64.39999999999999" customWidth="1" min="5" max="5"/>
    <col width="70.14999999999999" customWidth="1" min="6" max="6"/>
    <col width="65.55" customWidth="1" min="7" max="7"/>
    <col width="64.39999999999999" customWidth="1" min="8" max="8"/>
    <col width="71.3" customWidth="1" min="9" max="9"/>
    <col width="63.24999999999999" customWidth="1" min="10" max="10"/>
    <col width="73.59999999999999" customWidth="1" min="11" max="11"/>
    <col width="81.64999999999999" customWidth="1" min="12" max="12"/>
  </cols>
  <sheetData>
    <row r="1">
      <c r="A1" s="1" t="inlineStr">
        <is>
          <t>数据ID</t>
        </is>
      </c>
      <c r="B1" s="1" t="inlineStr">
        <is>
          <t>内衬信息.复合材料性能.直径(nm)</t>
        </is>
      </c>
      <c r="C1" s="1" t="inlineStr">
        <is>
          <t>内衬信息.复合材料性能.长度(μm)</t>
        </is>
      </c>
      <c r="D1" s="1" t="inlineStr">
        <is>
          <t>内衬信息.复合材料性能.比表面积(m²/g)</t>
        </is>
      </c>
      <c r="E1" s="1" t="inlineStr">
        <is>
          <t>内衬信息.复合材料性能.粒径范围(μm)</t>
        </is>
      </c>
      <c r="F1" s="1" t="inlineStr">
        <is>
          <t>内衬信息.复合材料性能.复合薄膜厚度(mm)</t>
        </is>
      </c>
      <c r="G1" s="1" t="inlineStr">
        <is>
          <t>内衬信息.复合材料性能.相对结晶度(%)</t>
        </is>
      </c>
      <c r="H1" s="1" t="inlineStr">
        <is>
          <t>内衬信息.复合材料性能.拉伸强度(MPa)</t>
        </is>
      </c>
      <c r="I1" s="1" t="inlineStr">
        <is>
          <t>内衬信息.复合材料性能.弹性模量​​(MPa)</t>
        </is>
      </c>
      <c r="J1" s="1" t="inlineStr">
        <is>
          <t>内衬信息.复合材料性能.平均孔径(nm)</t>
        </is>
      </c>
      <c r="K1" s="1" t="inlineStr">
        <is>
          <t>内衬信息.复合材料性能.界面吸附能(Kcal/mol)</t>
        </is>
      </c>
      <c r="L1" s="1" t="inlineStr">
        <is>
          <t>内衬信息.复合材料性能.内聚力能密度​​(J/cm³)</t>
        </is>
      </c>
    </row>
    <row r="2">
      <c r="A2" s="1" t="inlineStr">
        <is>
          <t>第1条数据的数据ID</t>
        </is>
      </c>
      <c r="B2" s="1" t="inlineStr">
        <is>
          <t>在这里填写“直径(nm)”（字符串型）</t>
        </is>
      </c>
      <c r="C2" s="1" t="inlineStr">
        <is>
          <t>在这里填写“长度(μm)”（字符串型）</t>
        </is>
      </c>
      <c r="D2" s="1" t="inlineStr">
        <is>
          <t>在这里填写“比表面积(m²/g)”（字符串型）</t>
        </is>
      </c>
      <c r="E2" s="1" t="inlineStr">
        <is>
          <t>在这里填写“粒径范围(μm)”（字符串型）</t>
        </is>
      </c>
      <c r="F2" s="1" t="inlineStr">
        <is>
          <t>在这里填写“复合薄膜厚度(mm)”（字符串型）</t>
        </is>
      </c>
      <c r="G2" s="1" t="inlineStr">
        <is>
          <t>在这里填写“相对结晶度(%)”（字符串型）</t>
        </is>
      </c>
      <c r="H2" s="1" t="inlineStr">
        <is>
          <t>在这里填写“拉伸强度(MPa)”（字符串型）</t>
        </is>
      </c>
      <c r="I2" s="1" t="inlineStr">
        <is>
          <t>在这里填写“弹性模量​​(MPa)”（字符串型）</t>
        </is>
      </c>
      <c r="J2" s="1" t="inlineStr">
        <is>
          <t>在这里填写“平均孔径(nm)”（字符串型）</t>
        </is>
      </c>
      <c r="K2" s="1" t="inlineStr">
        <is>
          <t>在这里填写“界面吸附能(Kcal/mol)”（字符串型）</t>
        </is>
      </c>
      <c r="L2" s="1" t="inlineStr">
        <is>
          <t>在这里填写“内聚力能密度​​(J/cm³)”（字符串型）</t>
        </is>
      </c>
    </row>
    <row r="3">
      <c r="A3" s="1" t="inlineStr">
        <is>
          <t>第2条数据的数据ID</t>
        </is>
      </c>
      <c r="B3" s="1" t="inlineStr">
        <is>
          <t>在这里填写“直径(nm)”（字符串型）</t>
        </is>
      </c>
      <c r="C3" s="1" t="inlineStr">
        <is>
          <t>在这里填写“长度(μm)”（字符串型）</t>
        </is>
      </c>
      <c r="D3" s="1" t="inlineStr">
        <is>
          <t>在这里填写“比表面积(m²/g)”（字符串型）</t>
        </is>
      </c>
      <c r="E3" s="1" t="inlineStr">
        <is>
          <t>在这里填写“粒径范围(μm)”（字符串型）</t>
        </is>
      </c>
      <c r="F3" s="1" t="inlineStr">
        <is>
          <t>在这里填写“复合薄膜厚度(mm)”（字符串型）</t>
        </is>
      </c>
      <c r="G3" s="1" t="inlineStr">
        <is>
          <t>在这里填写“相对结晶度(%)”（字符串型）</t>
        </is>
      </c>
      <c r="H3" s="1" t="inlineStr">
        <is>
          <t>在这里填写“拉伸强度(MPa)”（字符串型）</t>
        </is>
      </c>
      <c r="I3" s="1" t="inlineStr">
        <is>
          <t>在这里填写“弹性模量​​(MPa)”（字符串型）</t>
        </is>
      </c>
      <c r="J3" s="1" t="inlineStr">
        <is>
          <t>在这里填写“平均孔径(nm)”（字符串型）</t>
        </is>
      </c>
      <c r="K3" s="1" t="inlineStr">
        <is>
          <t>在这里填写“界面吸附能(Kcal/mol)”（字符串型）</t>
        </is>
      </c>
      <c r="L3" s="1" t="inlineStr">
        <is>
          <t>在这里填写“内聚力能密度​​(J/cm³)”（字符串型）</t>
        </is>
      </c>
    </row>
    <row r="4">
      <c r="A4" s="1" t="inlineStr">
        <is>
          <t>第3条数据的数据ID</t>
        </is>
      </c>
      <c r="B4" s="1" t="inlineStr">
        <is>
          <t>在这里填写“直径(nm)”（字符串型）</t>
        </is>
      </c>
      <c r="C4" s="1" t="inlineStr">
        <is>
          <t>在这里填写“长度(μm)”（字符串型）</t>
        </is>
      </c>
      <c r="D4" s="1" t="inlineStr">
        <is>
          <t>在这里填写“比表面积(m²/g)”（字符串型）</t>
        </is>
      </c>
      <c r="E4" s="1" t="inlineStr">
        <is>
          <t>在这里填写“粒径范围(μm)”（字符串型）</t>
        </is>
      </c>
      <c r="F4" s="1" t="inlineStr">
        <is>
          <t>在这里填写“复合薄膜厚度(mm)”（字符串型）</t>
        </is>
      </c>
      <c r="G4" s="1" t="inlineStr">
        <is>
          <t>在这里填写“相对结晶度(%)”（字符串型）</t>
        </is>
      </c>
      <c r="H4" s="1" t="inlineStr">
        <is>
          <t>在这里填写“拉伸强度(MPa)”（字符串型）</t>
        </is>
      </c>
      <c r="I4" s="1" t="inlineStr">
        <is>
          <t>在这里填写“弹性模量​​(MPa)”（字符串型）</t>
        </is>
      </c>
      <c r="J4" s="1" t="inlineStr">
        <is>
          <t>在这里填写“平均孔径(nm)”（字符串型）</t>
        </is>
      </c>
      <c r="K4" s="1" t="inlineStr">
        <is>
          <t>在这里填写“界面吸附能(Kcal/mol)”（字符串型）</t>
        </is>
      </c>
      <c r="L4" s="1" t="inlineStr">
        <is>
          <t>在这里填写“内聚力能密度​​(J/cm³)”（字符串型）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.6" customWidth="1" min="1" max="1"/>
    <col width="58.65" customWidth="1" min="2" max="2"/>
    <col width="126.5" customWidth="1" min="3" max="3"/>
    <col width="58.65" customWidth="1" min="4" max="4"/>
  </cols>
  <sheetData>
    <row r="1">
      <c r="A1" s="1" t="inlineStr">
        <is>
          <t>数据ID</t>
        </is>
      </c>
      <c r="B1" s="1" t="inlineStr">
        <is>
          <t>内衬信息.内衬-材料表征.表征方法</t>
        </is>
      </c>
      <c r="C1" s="1" t="inlineStr">
        <is>
          <t>内衬信息.内衬-材料表征.表征图片</t>
        </is>
      </c>
      <c r="D1" s="1" t="inlineStr">
        <is>
          <t>内衬信息.内衬-材料表征.分析结果</t>
        </is>
      </c>
    </row>
    <row r="2">
      <c r="A2" s="1" t="inlineStr">
        <is>
          <t>第1条数据的数据ID</t>
        </is>
      </c>
      <c r="B2" s="1" t="inlineStr">
        <is>
          <t>在这里填写“表征方法”（字符串型）</t>
        </is>
      </c>
      <c r="C2" s="1" t="inlineStr">
        <is>
          <t>在这里填写“表征图片”（图片型）（请填写文件或图片相对于本Excel文件的路径）</t>
        </is>
      </c>
      <c r="D2" s="1" t="inlineStr">
        <is>
          <t>在这里填写“分析结果”（字符串型）</t>
        </is>
      </c>
    </row>
    <row r="3">
      <c r="A3" s="1" t="inlineStr">
        <is>
          <t>第2条数据的数据ID</t>
        </is>
      </c>
      <c r="B3" s="1" t="inlineStr">
        <is>
          <t>在这里填写“表征方法”（字符串型）</t>
        </is>
      </c>
      <c r="C3" s="1" t="inlineStr">
        <is>
          <t>在这里填写“表征图片”（图片型）（请填写文件或图片相对于本Excel文件的路径）</t>
        </is>
      </c>
      <c r="D3" s="1" t="inlineStr">
        <is>
          <t>在这里填写“分析结果”（字符串型）</t>
        </is>
      </c>
    </row>
    <row r="4">
      <c r="A4" s="1" t="inlineStr">
        <is>
          <t>第3条数据的数据ID</t>
        </is>
      </c>
      <c r="B4" s="1" t="inlineStr">
        <is>
          <t>在这里填写“表征方法”（字符串型）</t>
        </is>
      </c>
      <c r="C4" s="1" t="inlineStr">
        <is>
          <t>在这里填写“表征图片”（图片型）（请填写文件或图片相对于本Excel文件的路径）</t>
        </is>
      </c>
      <c r="D4" s="1" t="inlineStr">
        <is>
          <t>在这里填写“分析结果”（字符串型）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.6" customWidth="1" min="1" max="1"/>
    <col width="101.2" customWidth="1" min="2" max="2"/>
    <col width="133.4" customWidth="1" min="3" max="3"/>
    <col width="108.1" customWidth="1" min="4" max="4"/>
    <col width="97.74999999999999" customWidth="1" min="5" max="5"/>
    <col width="105.8" customWidth="1" min="6" max="6"/>
    <col width="104.65" customWidth="1" min="7" max="7"/>
    <col width="110.4" customWidth="1" min="8" max="8"/>
    <col width="101.2" customWidth="1" min="9" max="9"/>
    <col width="106.95" customWidth="1" min="10" max="10"/>
    <col width="104.65" customWidth="1" min="11" max="11"/>
  </cols>
  <sheetData>
    <row r="1">
      <c r="A1" s="1" t="inlineStr">
        <is>
          <t>数据ID</t>
        </is>
      </c>
      <c r="B1" s="1" t="inlineStr">
        <is>
          <t>体外实验-内衬与球头摩擦腐蚀实验.内衬与球头-实验设置.测试设备</t>
        </is>
      </c>
      <c r="C1" s="1" t="inlineStr">
        <is>
          <t>体外实验-内衬与球头摩擦腐蚀实验.内衬与球头-实验设置.测试设备图片</t>
        </is>
      </c>
      <c r="D1" s="1" t="inlineStr">
        <is>
          <t>体外实验-内衬与球头摩擦腐蚀实验.内衬与球头-实验设置.摩擦测试条件</t>
        </is>
      </c>
      <c r="E1" s="1" t="inlineStr">
        <is>
          <t>体外实验-内衬与球头摩擦腐蚀实验.内衬与球头-实验设置.负载(N)</t>
        </is>
      </c>
      <c r="F1" s="1" t="inlineStr">
        <is>
          <t>体外实验-内衬与球头摩擦腐蚀实验.内衬与球头-实验设置.滑动距离(mm)</t>
        </is>
      </c>
      <c r="G1" s="1" t="inlineStr">
        <is>
          <t>体外实验-内衬与球头摩擦腐蚀实验.内衬与球头-实验设置.润滑液类型</t>
        </is>
      </c>
      <c r="H1" s="1" t="inlineStr">
        <is>
          <t>体外实验-内衬与球头摩擦腐蚀实验.内衬与球头-实验设置.蛋白质浓度(g/L)</t>
        </is>
      </c>
      <c r="I1" s="1" t="inlineStr">
        <is>
          <t>体外实验-内衬与球头摩擦腐蚀实验.内衬与球头-实验设置.测试周期</t>
        </is>
      </c>
      <c r="J1" s="1" t="inlineStr">
        <is>
          <t>体外实验-内衬与球头摩擦腐蚀实验.内衬与球头-实验设置.测试温度(℃)</t>
        </is>
      </c>
      <c r="K1" s="1" t="inlineStr">
        <is>
          <t>体外实验-内衬与球头摩擦腐蚀实验.内衬与球头-实验设置.测试时间(h)</t>
        </is>
      </c>
    </row>
    <row r="2">
      <c r="A2" s="1" t="inlineStr">
        <is>
          <t>第1条数据的数据ID</t>
        </is>
      </c>
      <c r="B2" s="1" t="inlineStr">
        <is>
          <t>在这里填写“测试设备”（字符串型）</t>
        </is>
      </c>
      <c r="C2" s="1" t="inlineStr">
        <is>
          <t>在这里填写“测试设备图片”（图片型）（请填写文件或图片相对于本Excel文件的路径）</t>
        </is>
      </c>
      <c r="D2" s="1" t="inlineStr">
        <is>
          <t>在这里填写“摩擦测试条件”（字符串型）</t>
        </is>
      </c>
      <c r="E2" s="1" t="inlineStr">
        <is>
          <t>在这里填写“负载(N)”（字符串型）</t>
        </is>
      </c>
      <c r="F2" s="1" t="inlineStr">
        <is>
          <t>在这里填写“滑动距离(mm)”（字符串型）</t>
        </is>
      </c>
      <c r="G2" s="1" t="inlineStr">
        <is>
          <t>在这里填写“润滑液类型”（字符串型）</t>
        </is>
      </c>
      <c r="H2" s="1" t="inlineStr">
        <is>
          <t>在这里填写“蛋白质浓度(g/L)”（字符串型）</t>
        </is>
      </c>
      <c r="I2" s="1" t="inlineStr">
        <is>
          <t>在这里填写“测试周期”（字符串型）</t>
        </is>
      </c>
      <c r="J2" s="1" t="inlineStr">
        <is>
          <t>在这里填写“测试温度(℃)”（字符串型）</t>
        </is>
      </c>
      <c r="K2" s="1" t="inlineStr">
        <is>
          <t>在这里填写“测试时间(h)”（字符串型）</t>
        </is>
      </c>
    </row>
    <row r="3">
      <c r="A3" s="1" t="inlineStr">
        <is>
          <t>第2条数据的数据ID</t>
        </is>
      </c>
      <c r="B3" s="1" t="inlineStr">
        <is>
          <t>在这里填写“测试设备”（字符串型）</t>
        </is>
      </c>
      <c r="C3" s="1" t="inlineStr">
        <is>
          <t>在这里填写“测试设备图片”（图片型）（请填写文件或图片相对于本Excel文件的路径）</t>
        </is>
      </c>
      <c r="D3" s="1" t="inlineStr">
        <is>
          <t>在这里填写“摩擦测试条件”（字符串型）</t>
        </is>
      </c>
      <c r="E3" s="1" t="inlineStr">
        <is>
          <t>在这里填写“负载(N)”（字符串型）</t>
        </is>
      </c>
      <c r="F3" s="1" t="inlineStr">
        <is>
          <t>在这里填写“滑动距离(mm)”（字符串型）</t>
        </is>
      </c>
      <c r="G3" s="1" t="inlineStr">
        <is>
          <t>在这里填写“润滑液类型”（字符串型）</t>
        </is>
      </c>
      <c r="H3" s="1" t="inlineStr">
        <is>
          <t>在这里填写“蛋白质浓度(g/L)”（字符串型）</t>
        </is>
      </c>
      <c r="I3" s="1" t="inlineStr">
        <is>
          <t>在这里填写“测试周期”（字符串型）</t>
        </is>
      </c>
      <c r="J3" s="1" t="inlineStr">
        <is>
          <t>在这里填写“测试温度(℃)”（字符串型）</t>
        </is>
      </c>
      <c r="K3" s="1" t="inlineStr">
        <is>
          <t>在这里填写“测试时间(h)”（字符串型）</t>
        </is>
      </c>
    </row>
    <row r="4">
      <c r="A4" s="1" t="inlineStr">
        <is>
          <t>第3条数据的数据ID</t>
        </is>
      </c>
      <c r="B4" s="1" t="inlineStr">
        <is>
          <t>在这里填写“测试设备”（字符串型）</t>
        </is>
      </c>
      <c r="C4" s="1" t="inlineStr">
        <is>
          <t>在这里填写“测试设备图片”（图片型）（请填写文件或图片相对于本Excel文件的路径）</t>
        </is>
      </c>
      <c r="D4" s="1" t="inlineStr">
        <is>
          <t>在这里填写“摩擦测试条件”（字符串型）</t>
        </is>
      </c>
      <c r="E4" s="1" t="inlineStr">
        <is>
          <t>在这里填写“负载(N)”（字符串型）</t>
        </is>
      </c>
      <c r="F4" s="1" t="inlineStr">
        <is>
          <t>在这里填写“滑动距离(mm)”（字符串型）</t>
        </is>
      </c>
      <c r="G4" s="1" t="inlineStr">
        <is>
          <t>在这里填写“润滑液类型”（字符串型）</t>
        </is>
      </c>
      <c r="H4" s="1" t="inlineStr">
        <is>
          <t>在这里填写“蛋白质浓度(g/L)”（字符串型）</t>
        </is>
      </c>
      <c r="I4" s="1" t="inlineStr">
        <is>
          <t>在这里填写“测试周期”（字符串型）</t>
        </is>
      </c>
      <c r="J4" s="1" t="inlineStr">
        <is>
          <t>在这里填写“测试温度(℃)”（字符串型）</t>
        </is>
      </c>
      <c r="K4" s="1" t="inlineStr">
        <is>
          <t>在这里填写“测试时间(h)”（字符串型）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.6" customWidth="1" min="1" max="1"/>
    <col width="113.85" customWidth="1" min="2" max="2"/>
    <col width="104.65" customWidth="1" min="3" max="3"/>
    <col width="104.65" customWidth="1" min="4" max="4"/>
    <col width="104.65" customWidth="1" min="5" max="5"/>
    <col width="108.1" customWidth="1" min="6" max="6"/>
    <col width="112.7" customWidth="1" min="7" max="7"/>
    <col width="116.15" customWidth="1" min="8" max="8"/>
    <col width="126.5" customWidth="1" min="9" max="9"/>
    <col width="103.5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体外实验-内衬与球头摩擦腐蚀实验.球头腐蚀实验结果.腐蚀速率（mm³/year）</t>
        </is>
      </c>
      <c r="C1" s="1" t="inlineStr">
        <is>
          <t>体外实验-内衬与球头摩擦腐蚀实验.球头腐蚀实验结果.腐蚀电流（A）</t>
        </is>
      </c>
      <c r="D1" s="1" t="inlineStr">
        <is>
          <t>体外实验-内衬与球头摩擦腐蚀实验.球头腐蚀实验结果.测试时间（h）</t>
        </is>
      </c>
      <c r="E1" s="1" t="inlineStr">
        <is>
          <t>体外实验-内衬与球头摩擦腐蚀实验.球头腐蚀实验结果.开路电位（V）</t>
        </is>
      </c>
      <c r="F1" s="1" t="inlineStr">
        <is>
          <t>体外实验-内衬与球头摩擦腐蚀实验.球头腐蚀实验结果.零电流电位（V）</t>
        </is>
      </c>
      <c r="G1" s="1" t="inlineStr">
        <is>
          <t>体外实验-内衬与球头摩擦腐蚀实验.球头腐蚀实验结果.离子释放量（μg/L）</t>
        </is>
      </c>
      <c r="H1" s="1" t="inlineStr">
        <is>
          <t>体外实验-内衬与球头摩擦腐蚀实验.球头腐蚀实验结果.钝化膜电阻（Ω·cm²）</t>
        </is>
      </c>
      <c r="I1" s="1" t="inlineStr">
        <is>
          <t>体外实验-内衬与球头摩擦腐蚀实验.球头腐蚀实验结果.腐蚀形貌</t>
        </is>
      </c>
      <c r="J1" s="1" t="inlineStr">
        <is>
          <t>体外实验-内衬与球头摩擦腐蚀实验.球头腐蚀实验结果.腐蚀形貌描述</t>
        </is>
      </c>
    </row>
    <row r="2">
      <c r="A2" s="1" t="inlineStr">
        <is>
          <t>第1条数据的数据ID</t>
        </is>
      </c>
      <c r="B2" s="1" t="inlineStr">
        <is>
          <t>在这里填写“腐蚀速率（mm³/year）”（字符串型）</t>
        </is>
      </c>
      <c r="C2" s="1" t="inlineStr">
        <is>
          <t>在这里填写“腐蚀电流（A）”（字符串型）</t>
        </is>
      </c>
      <c r="D2" s="1" t="inlineStr">
        <is>
          <t>在这里填写“测试时间（h）”（字符串型）</t>
        </is>
      </c>
      <c r="E2" s="1" t="inlineStr">
        <is>
          <t>在这里填写“开路电位（V）”（字符串型）</t>
        </is>
      </c>
      <c r="F2" s="1" t="inlineStr">
        <is>
          <t>在这里填写“零电流电位（V）”（字符串型）</t>
        </is>
      </c>
      <c r="G2" s="1" t="inlineStr">
        <is>
          <t>在这里填写“离子释放量（μg/L）”（字符串型）</t>
        </is>
      </c>
      <c r="H2" s="1" t="inlineStr">
        <is>
          <t>在这里填写“钝化膜电阻（Ω·cm²）”（字符串型）</t>
        </is>
      </c>
      <c r="I2" s="1" t="inlineStr">
        <is>
          <t>在这里填写“腐蚀形貌”（图片型）（请填写文件或图片相对于本Excel文件的路径）</t>
        </is>
      </c>
      <c r="J2" s="1" t="inlineStr">
        <is>
          <t>在这里填写“腐蚀形貌描述”（字符串型）</t>
        </is>
      </c>
    </row>
    <row r="3">
      <c r="A3" s="1" t="inlineStr">
        <is>
          <t>第2条数据的数据ID</t>
        </is>
      </c>
      <c r="B3" s="1" t="inlineStr">
        <is>
          <t>在这里填写“腐蚀速率（mm³/year）”（字符串型）</t>
        </is>
      </c>
      <c r="C3" s="1" t="inlineStr">
        <is>
          <t>在这里填写“腐蚀电流（A）”（字符串型）</t>
        </is>
      </c>
      <c r="D3" s="1" t="inlineStr">
        <is>
          <t>在这里填写“测试时间（h）”（字符串型）</t>
        </is>
      </c>
      <c r="E3" s="1" t="inlineStr">
        <is>
          <t>在这里填写“开路电位（V）”（字符串型）</t>
        </is>
      </c>
      <c r="F3" s="1" t="inlineStr">
        <is>
          <t>在这里填写“零电流电位（V）”（字符串型）</t>
        </is>
      </c>
      <c r="G3" s="1" t="inlineStr">
        <is>
          <t>在这里填写“离子释放量（μg/L）”（字符串型）</t>
        </is>
      </c>
      <c r="H3" s="1" t="inlineStr">
        <is>
          <t>在这里填写“钝化膜电阻（Ω·cm²）”（字符串型）</t>
        </is>
      </c>
      <c r="I3" s="1" t="inlineStr">
        <is>
          <t>在这里填写“腐蚀形貌”（图片型）（请填写文件或图片相对于本Excel文件的路径）</t>
        </is>
      </c>
      <c r="J3" s="1" t="inlineStr">
        <is>
          <t>在这里填写“腐蚀形貌描述”（字符串型）</t>
        </is>
      </c>
    </row>
    <row r="4">
      <c r="A4" s="1" t="inlineStr">
        <is>
          <t>第3条数据的数据ID</t>
        </is>
      </c>
      <c r="B4" s="1" t="inlineStr">
        <is>
          <t>在这里填写“腐蚀速率（mm³/year）”（字符串型）</t>
        </is>
      </c>
      <c r="C4" s="1" t="inlineStr">
        <is>
          <t>在这里填写“腐蚀电流（A）”（字符串型）</t>
        </is>
      </c>
      <c r="D4" s="1" t="inlineStr">
        <is>
          <t>在这里填写“测试时间（h）”（字符串型）</t>
        </is>
      </c>
      <c r="E4" s="1" t="inlineStr">
        <is>
          <t>在这里填写“开路电位（V）”（字符串型）</t>
        </is>
      </c>
      <c r="F4" s="1" t="inlineStr">
        <is>
          <t>在这里填写“零电流电位（V）”（字符串型）</t>
        </is>
      </c>
      <c r="G4" s="1" t="inlineStr">
        <is>
          <t>在这里填写“离子释放量（μg/L）”（字符串型）</t>
        </is>
      </c>
      <c r="H4" s="1" t="inlineStr">
        <is>
          <t>在这里填写“钝化膜电阻（Ω·cm²）”（字符串型）</t>
        </is>
      </c>
      <c r="I4" s="1" t="inlineStr">
        <is>
          <t>在这里填写“腐蚀形貌”（图片型）（请填写文件或图片相对于本Excel文件的路径）</t>
        </is>
      </c>
      <c r="J4" s="1" t="inlineStr">
        <is>
          <t>在这里填写“腐蚀形貌描述”（字符串型）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.6" customWidth="1" min="1" max="1"/>
    <col width="113.85" customWidth="1" min="2" max="2"/>
    <col width="104.65" customWidth="1" min="3" max="3"/>
    <col width="104.65" customWidth="1" min="4" max="4"/>
    <col width="104.65" customWidth="1" min="5" max="5"/>
    <col width="108.1" customWidth="1" min="6" max="6"/>
    <col width="112.7" customWidth="1" min="7" max="7"/>
    <col width="116.15" customWidth="1" min="8" max="8"/>
    <col width="126.5" customWidth="1" min="9" max="9"/>
    <col width="103.5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体外实验-内衬与球头摩擦腐蚀实验.内衬腐蚀实验结果.腐蚀速率（mm³/year）</t>
        </is>
      </c>
      <c r="C1" s="1" t="inlineStr">
        <is>
          <t>体外实验-内衬与球头摩擦腐蚀实验.内衬腐蚀实验结果.腐蚀电流（A）</t>
        </is>
      </c>
      <c r="D1" s="1" t="inlineStr">
        <is>
          <t>体外实验-内衬与球头摩擦腐蚀实验.内衬腐蚀实验结果.测试时间（h）</t>
        </is>
      </c>
      <c r="E1" s="1" t="inlineStr">
        <is>
          <t>体外实验-内衬与球头摩擦腐蚀实验.内衬腐蚀实验结果.开路电位（V）</t>
        </is>
      </c>
      <c r="F1" s="1" t="inlineStr">
        <is>
          <t>体外实验-内衬与球头摩擦腐蚀实验.内衬腐蚀实验结果.零电流电位（V）</t>
        </is>
      </c>
      <c r="G1" s="1" t="inlineStr">
        <is>
          <t>体外实验-内衬与球头摩擦腐蚀实验.内衬腐蚀实验结果.离子释放量（μg/L）</t>
        </is>
      </c>
      <c r="H1" s="1" t="inlineStr">
        <is>
          <t>体外实验-内衬与球头摩擦腐蚀实验.内衬腐蚀实验结果.钝化膜电阻（Ω·cm²）</t>
        </is>
      </c>
      <c r="I1" s="1" t="inlineStr">
        <is>
          <t>体外实验-内衬与球头摩擦腐蚀实验.内衬腐蚀实验结果.腐蚀形貌</t>
        </is>
      </c>
      <c r="J1" s="1" t="inlineStr">
        <is>
          <t>体外实验-内衬与球头摩擦腐蚀实验.内衬腐蚀实验结果.腐蚀形貌描述</t>
        </is>
      </c>
    </row>
    <row r="2">
      <c r="A2" s="1" t="inlineStr">
        <is>
          <t>第1条数据的数据ID</t>
        </is>
      </c>
      <c r="B2" s="1" t="inlineStr">
        <is>
          <t>在这里填写“腐蚀速率（mm³/year）”（字符串型）</t>
        </is>
      </c>
      <c r="C2" s="1" t="inlineStr">
        <is>
          <t>在这里填写“腐蚀电流（A）”（字符串型）</t>
        </is>
      </c>
      <c r="D2" s="1" t="inlineStr">
        <is>
          <t>在这里填写“测试时间（h）”（字符串型）</t>
        </is>
      </c>
      <c r="E2" s="1" t="inlineStr">
        <is>
          <t>在这里填写“开路电位（V）”（字符串型）</t>
        </is>
      </c>
      <c r="F2" s="1" t="inlineStr">
        <is>
          <t>在这里填写“零电流电位（V）”（字符串型）</t>
        </is>
      </c>
      <c r="G2" s="1" t="inlineStr">
        <is>
          <t>在这里填写“离子释放量（μg/L）”（字符串型）</t>
        </is>
      </c>
      <c r="H2" s="1" t="inlineStr">
        <is>
          <t>在这里填写“钝化膜电阻（Ω·cm²）”（字符串型）</t>
        </is>
      </c>
      <c r="I2" s="1" t="inlineStr">
        <is>
          <t>在这里填写“腐蚀形貌”（图片型）（请填写文件或图片相对于本Excel文件的路径）</t>
        </is>
      </c>
      <c r="J2" s="1" t="inlineStr">
        <is>
          <t>在这里填写“腐蚀形貌描述”（字符串型）</t>
        </is>
      </c>
    </row>
    <row r="3">
      <c r="A3" s="1" t="inlineStr">
        <is>
          <t>第2条数据的数据ID</t>
        </is>
      </c>
      <c r="B3" s="1" t="inlineStr">
        <is>
          <t>在这里填写“腐蚀速率（mm³/year）”（字符串型）</t>
        </is>
      </c>
      <c r="C3" s="1" t="inlineStr">
        <is>
          <t>在这里填写“腐蚀电流（A）”（字符串型）</t>
        </is>
      </c>
      <c r="D3" s="1" t="inlineStr">
        <is>
          <t>在这里填写“测试时间（h）”（字符串型）</t>
        </is>
      </c>
      <c r="E3" s="1" t="inlineStr">
        <is>
          <t>在这里填写“开路电位（V）”（字符串型）</t>
        </is>
      </c>
      <c r="F3" s="1" t="inlineStr">
        <is>
          <t>在这里填写“零电流电位（V）”（字符串型）</t>
        </is>
      </c>
      <c r="G3" s="1" t="inlineStr">
        <is>
          <t>在这里填写“离子释放量（μg/L）”（字符串型）</t>
        </is>
      </c>
      <c r="H3" s="1" t="inlineStr">
        <is>
          <t>在这里填写“钝化膜电阻（Ω·cm²）”（字符串型）</t>
        </is>
      </c>
      <c r="I3" s="1" t="inlineStr">
        <is>
          <t>在这里填写“腐蚀形貌”（图片型）（请填写文件或图片相对于本Excel文件的路径）</t>
        </is>
      </c>
      <c r="J3" s="1" t="inlineStr">
        <is>
          <t>在这里填写“腐蚀形貌描述”（字符串型）</t>
        </is>
      </c>
    </row>
    <row r="4">
      <c r="A4" s="1" t="inlineStr">
        <is>
          <t>第3条数据的数据ID</t>
        </is>
      </c>
      <c r="B4" s="1" t="inlineStr">
        <is>
          <t>在这里填写“腐蚀速率（mm³/year）”（字符串型）</t>
        </is>
      </c>
      <c r="C4" s="1" t="inlineStr">
        <is>
          <t>在这里填写“腐蚀电流（A）”（字符串型）</t>
        </is>
      </c>
      <c r="D4" s="1" t="inlineStr">
        <is>
          <t>在这里填写“测试时间（h）”（字符串型）</t>
        </is>
      </c>
      <c r="E4" s="1" t="inlineStr">
        <is>
          <t>在这里填写“开路电位（V）”（字符串型）</t>
        </is>
      </c>
      <c r="F4" s="1" t="inlineStr">
        <is>
          <t>在这里填写“零电流电位（V）”（字符串型）</t>
        </is>
      </c>
      <c r="G4" s="1" t="inlineStr">
        <is>
          <t>在这里填写“离子释放量（μg/L）”（字符串型）</t>
        </is>
      </c>
      <c r="H4" s="1" t="inlineStr">
        <is>
          <t>在这里填写“钝化膜电阻（Ω·cm²）”（字符串型）</t>
        </is>
      </c>
      <c r="I4" s="1" t="inlineStr">
        <is>
          <t>在这里填写“腐蚀形貌”（图片型）（请填写文件或图片相对于本Excel文件的路径）</t>
        </is>
      </c>
      <c r="J4" s="1" t="inlineStr">
        <is>
          <t>在这里填写“腐蚀形貌描述”（字符串型）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.6" customWidth="1" min="1" max="1"/>
    <col width="119.6" customWidth="1" min="2" max="2"/>
    <col width="112.7" customWidth="1" min="3" max="3"/>
    <col width="123.05" customWidth="1" min="4" max="4"/>
    <col width="112.7" customWidth="1" min="5" max="5"/>
  </cols>
  <sheetData>
    <row r="1">
      <c r="A1" s="1" t="inlineStr">
        <is>
          <t>数据ID</t>
        </is>
      </c>
      <c r="B1" s="1" t="inlineStr">
        <is>
          <t>体外实验-内衬与球头摩擦腐蚀实验.内衬与球头-实验环境-润滑液组成.环境名称</t>
        </is>
      </c>
      <c r="C1" s="1" t="inlineStr">
        <is>
          <t>体外实验-内衬与球头摩擦腐蚀实验.内衬与球头-实验环境-润滑液组成.成分</t>
        </is>
      </c>
      <c r="D1" s="1" t="inlineStr">
        <is>
          <t>体外实验-内衬与球头摩擦腐蚀实验.内衬与球头-实验环境-润滑液组成.浓度或组成</t>
        </is>
      </c>
      <c r="E1" s="1" t="inlineStr">
        <is>
          <t>体外实验-内衬与球头摩擦腐蚀实验.内衬与球头-实验环境-润滑液组成.单位</t>
        </is>
      </c>
    </row>
    <row r="2">
      <c r="A2" s="1" t="inlineStr">
        <is>
          <t>第1条数据的数据ID</t>
        </is>
      </c>
      <c r="B2" s="1" t="inlineStr">
        <is>
          <t>在这里填写“环境名称”（字符串型）</t>
        </is>
      </c>
      <c r="C2" s="1" t="inlineStr">
        <is>
          <t>在这里填写“成分”（字符串型）</t>
        </is>
      </c>
      <c r="D2" s="1" t="inlineStr">
        <is>
          <t>在这里填写“浓度或组成”（字符串型）</t>
        </is>
      </c>
      <c r="E2" s="1" t="inlineStr">
        <is>
          <t>在这里填写“单位”（字符串型）</t>
        </is>
      </c>
    </row>
    <row r="3">
      <c r="A3" s="1" t="inlineStr">
        <is>
          <t>第2条数据的数据ID</t>
        </is>
      </c>
      <c r="B3" s="1" t="inlineStr">
        <is>
          <t>在这里填写“环境名称”（字符串型）</t>
        </is>
      </c>
      <c r="C3" s="1" t="inlineStr">
        <is>
          <t>在这里填写“成分”（字符串型）</t>
        </is>
      </c>
      <c r="D3" s="1" t="inlineStr">
        <is>
          <t>在这里填写“浓度或组成”（字符串型）</t>
        </is>
      </c>
      <c r="E3" s="1" t="inlineStr">
        <is>
          <t>在这里填写“单位”（字符串型）</t>
        </is>
      </c>
    </row>
    <row r="4">
      <c r="A4" s="1" t="inlineStr">
        <is>
          <t>第3条数据的数据ID</t>
        </is>
      </c>
      <c r="B4" s="1" t="inlineStr">
        <is>
          <t>在这里填写“环境名称”（字符串型）</t>
        </is>
      </c>
      <c r="C4" s="1" t="inlineStr">
        <is>
          <t>在这里填写“成分”（字符串型）</t>
        </is>
      </c>
      <c r="D4" s="1" t="inlineStr">
        <is>
          <t>在这里填写“浓度或组成”（字符串型）</t>
        </is>
      </c>
      <c r="E4" s="1" t="inlineStr">
        <is>
          <t>在这里填写“单位”（字符串型）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.6" customWidth="1" min="1" max="1"/>
    <col width="105.8" customWidth="1" min="2" max="2"/>
    <col width="111.55" customWidth="1" min="3" max="3"/>
    <col width="109.25" customWidth="1" min="4" max="4"/>
    <col width="126.5" customWidth="1" min="5" max="5"/>
    <col width="112.7" customWidth="1" min="6" max="6"/>
    <col width="133.4" customWidth="1" min="7" max="7"/>
    <col width="109.25" customWidth="1" min="8" max="8"/>
    <col width="100.05" customWidth="1" min="9" max="9"/>
    <col width="109.25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体外实验-内衬与球头摩擦腐蚀实验.球头磨损实验结果.磨损率（mg/Mc）</t>
        </is>
      </c>
      <c r="C1" s="1" t="inlineStr">
        <is>
          <t>体外实验-内衬与球头摩擦腐蚀实验.球头磨损实验结果.磨损因子（mm³/Nm）</t>
        </is>
      </c>
      <c r="D1" s="1" t="inlineStr">
        <is>
          <t>体外实验-内衬与球头摩擦腐蚀实验.球头磨损实验结果.总重量损失（mg）</t>
        </is>
      </c>
      <c r="E1" s="1" t="inlineStr">
        <is>
          <t>体外实验-内衬与球头摩擦腐蚀实验.球头磨损实验结果.磨损形貌</t>
        </is>
      </c>
      <c r="F1" s="1" t="inlineStr">
        <is>
          <t>体外实验-内衬与球头摩擦腐蚀实验.球头磨损实验结果.磨损颗粒大小（nm）</t>
        </is>
      </c>
      <c r="G1" s="1" t="inlineStr">
        <is>
          <t>体外实验-内衬与球头摩擦腐蚀实验.球头磨损实验结果.磨损颗粒形貌</t>
        </is>
      </c>
      <c r="H1" s="1" t="inlineStr">
        <is>
          <t>体外实验-内衬与球头摩擦腐蚀实验.球头磨损实验结果.摩擦膜厚度（nm）</t>
        </is>
      </c>
      <c r="I1" s="1" t="inlineStr">
        <is>
          <t>体外实验-内衬与球头摩擦腐蚀实验.球头磨损实验结果.摩擦膜成分</t>
        </is>
      </c>
      <c r="J1" s="1" t="inlineStr">
        <is>
          <t>体外实验-内衬与球头摩擦腐蚀实验.球头磨损实验结果.摩擦膜硬度（HV）</t>
        </is>
      </c>
    </row>
    <row r="2">
      <c r="A2" s="1" t="inlineStr">
        <is>
          <t>第1条数据的数据ID</t>
        </is>
      </c>
      <c r="B2" s="1" t="inlineStr">
        <is>
          <t>在这里填写“磨损率（mg/Mc）”（字符串型）</t>
        </is>
      </c>
      <c r="C2" s="1" t="inlineStr">
        <is>
          <t>在这里填写“磨损因子（mm³/Nm）”（字符串型）</t>
        </is>
      </c>
      <c r="D2" s="1" t="inlineStr">
        <is>
          <t>在这里填写“总重量损失（mg）”（字符串型）</t>
        </is>
      </c>
      <c r="E2" s="1" t="inlineStr">
        <is>
          <t>在这里填写“磨损形貌”（图片型）（请填写文件或图片相对于本Excel文件的路径）</t>
        </is>
      </c>
      <c r="F2" s="1" t="inlineStr">
        <is>
          <t>在这里填写“磨损颗粒大小（nm）”（字符串型）</t>
        </is>
      </c>
      <c r="G2" s="1" t="inlineStr">
        <is>
          <t>在这里填写“磨损颗粒形貌”（图片型）（请填写文件或图片相对于本Excel文件的路径）</t>
        </is>
      </c>
      <c r="H2" s="1" t="inlineStr">
        <is>
          <t>在这里填写“摩擦膜厚度（nm）”（字符串型）</t>
        </is>
      </c>
      <c r="I2" s="1" t="inlineStr">
        <is>
          <t>在这里填写“摩擦膜成分”（字符串型）</t>
        </is>
      </c>
      <c r="J2" s="1" t="inlineStr">
        <is>
          <t>在这里填写“摩擦膜硬度（HV）”（字符串型）</t>
        </is>
      </c>
    </row>
    <row r="3">
      <c r="A3" s="1" t="inlineStr">
        <is>
          <t>第2条数据的数据ID</t>
        </is>
      </c>
      <c r="B3" s="1" t="inlineStr">
        <is>
          <t>在这里填写“磨损率（mg/Mc）”（字符串型）</t>
        </is>
      </c>
      <c r="C3" s="1" t="inlineStr">
        <is>
          <t>在这里填写“磨损因子（mm³/Nm）”（字符串型）</t>
        </is>
      </c>
      <c r="D3" s="1" t="inlineStr">
        <is>
          <t>在这里填写“总重量损失（mg）”（字符串型）</t>
        </is>
      </c>
      <c r="E3" s="1" t="inlineStr">
        <is>
          <t>在这里填写“磨损形貌”（图片型）（请填写文件或图片相对于本Excel文件的路径）</t>
        </is>
      </c>
      <c r="F3" s="1" t="inlineStr">
        <is>
          <t>在这里填写“磨损颗粒大小（nm）”（字符串型）</t>
        </is>
      </c>
      <c r="G3" s="1" t="inlineStr">
        <is>
          <t>在这里填写“磨损颗粒形貌”（图片型）（请填写文件或图片相对于本Excel文件的路径）</t>
        </is>
      </c>
      <c r="H3" s="1" t="inlineStr">
        <is>
          <t>在这里填写“摩擦膜厚度（nm）”（字符串型）</t>
        </is>
      </c>
      <c r="I3" s="1" t="inlineStr">
        <is>
          <t>在这里填写“摩擦膜成分”（字符串型）</t>
        </is>
      </c>
      <c r="J3" s="1" t="inlineStr">
        <is>
          <t>在这里填写“摩擦膜硬度（HV）”（字符串型）</t>
        </is>
      </c>
    </row>
    <row r="4">
      <c r="A4" s="1" t="inlineStr">
        <is>
          <t>第3条数据的数据ID</t>
        </is>
      </c>
      <c r="B4" s="1" t="inlineStr">
        <is>
          <t>在这里填写“磨损率（mg/Mc）”（字符串型）</t>
        </is>
      </c>
      <c r="C4" s="1" t="inlineStr">
        <is>
          <t>在这里填写“磨损因子（mm³/Nm）”（字符串型）</t>
        </is>
      </c>
      <c r="D4" s="1" t="inlineStr">
        <is>
          <t>在这里填写“总重量损失（mg）”（字符串型）</t>
        </is>
      </c>
      <c r="E4" s="1" t="inlineStr">
        <is>
          <t>在这里填写“磨损形貌”（图片型）（请填写文件或图片相对于本Excel文件的路径）</t>
        </is>
      </c>
      <c r="F4" s="1" t="inlineStr">
        <is>
          <t>在这里填写“磨损颗粒大小（nm）”（字符串型）</t>
        </is>
      </c>
      <c r="G4" s="1" t="inlineStr">
        <is>
          <t>在这里填写“磨损颗粒形貌”（图片型）（请填写文件或图片相对于本Excel文件的路径）</t>
        </is>
      </c>
      <c r="H4" s="1" t="inlineStr">
        <is>
          <t>在这里填写“摩擦膜厚度（nm）”（字符串型）</t>
        </is>
      </c>
      <c r="I4" s="1" t="inlineStr">
        <is>
          <t>在这里填写“摩擦膜成分”（字符串型）</t>
        </is>
      </c>
      <c r="J4" s="1" t="inlineStr">
        <is>
          <t>在这里填写“摩擦膜硬度（HV）”（字符串型）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.6" customWidth="1" min="1" max="1"/>
    <col width="105.8" customWidth="1" min="2" max="2"/>
    <col width="111.55" customWidth="1" min="3" max="3"/>
    <col width="109.25" customWidth="1" min="4" max="4"/>
    <col width="126.5" customWidth="1" min="5" max="5"/>
    <col width="112.7" customWidth="1" min="6" max="6"/>
    <col width="133.4" customWidth="1" min="7" max="7"/>
    <col width="109.25" customWidth="1" min="8" max="8"/>
    <col width="100.05" customWidth="1" min="9" max="9"/>
    <col width="109.25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体外实验-内衬与球头摩擦腐蚀实验.内衬磨损实验结果.磨损率（mg/Mc）</t>
        </is>
      </c>
      <c r="C1" s="1" t="inlineStr">
        <is>
          <t>体外实验-内衬与球头摩擦腐蚀实验.内衬磨损实验结果.磨损因子（mm³/Nm）</t>
        </is>
      </c>
      <c r="D1" s="1" t="inlineStr">
        <is>
          <t>体外实验-内衬与球头摩擦腐蚀实验.内衬磨损实验结果.总重量损失（mg）</t>
        </is>
      </c>
      <c r="E1" s="1" t="inlineStr">
        <is>
          <t>体外实验-内衬与球头摩擦腐蚀实验.内衬磨损实验结果.磨损形貌</t>
        </is>
      </c>
      <c r="F1" s="1" t="inlineStr">
        <is>
          <t>体外实验-内衬与球头摩擦腐蚀实验.内衬磨损实验结果.磨损颗粒大小（nm）</t>
        </is>
      </c>
      <c r="G1" s="1" t="inlineStr">
        <is>
          <t>体外实验-内衬与球头摩擦腐蚀实验.内衬磨损实验结果.磨损颗粒形貌</t>
        </is>
      </c>
      <c r="H1" s="1" t="inlineStr">
        <is>
          <t>体外实验-内衬与球头摩擦腐蚀实验.内衬磨损实验结果.摩擦膜厚度（nm）</t>
        </is>
      </c>
      <c r="I1" s="1" t="inlineStr">
        <is>
          <t>体外实验-内衬与球头摩擦腐蚀实验.内衬磨损实验结果.摩擦膜成分</t>
        </is>
      </c>
      <c r="J1" s="1" t="inlineStr">
        <is>
          <t>体外实验-内衬与球头摩擦腐蚀实验.内衬磨损实验结果.摩擦膜硬度（HV）</t>
        </is>
      </c>
    </row>
    <row r="2">
      <c r="A2" s="1" t="inlineStr">
        <is>
          <t>第1条数据的数据ID</t>
        </is>
      </c>
      <c r="B2" s="1" t="inlineStr">
        <is>
          <t>在这里填写“磨损率（mg/Mc）”（字符串型）</t>
        </is>
      </c>
      <c r="C2" s="1" t="inlineStr">
        <is>
          <t>在这里填写“磨损因子（mm³/Nm）”（字符串型）</t>
        </is>
      </c>
      <c r="D2" s="1" t="inlineStr">
        <is>
          <t>在这里填写“总重量损失（mg）”（字符串型）</t>
        </is>
      </c>
      <c r="E2" s="1" t="inlineStr">
        <is>
          <t>在这里填写“磨损形貌”（图片型）（请填写文件或图片相对于本Excel文件的路径）</t>
        </is>
      </c>
      <c r="F2" s="1" t="inlineStr">
        <is>
          <t>在这里填写“磨损颗粒大小（nm）”（字符串型）</t>
        </is>
      </c>
      <c r="G2" s="1" t="inlineStr">
        <is>
          <t>在这里填写“磨损颗粒形貌”（图片型）（请填写文件或图片相对于本Excel文件的路径）</t>
        </is>
      </c>
      <c r="H2" s="1" t="inlineStr">
        <is>
          <t>在这里填写“摩擦膜厚度（nm）”（字符串型）</t>
        </is>
      </c>
      <c r="I2" s="1" t="inlineStr">
        <is>
          <t>在这里填写“摩擦膜成分”（字符串型）</t>
        </is>
      </c>
      <c r="J2" s="1" t="inlineStr">
        <is>
          <t>在这里填写“摩擦膜硬度（HV）”（字符串型）</t>
        </is>
      </c>
    </row>
    <row r="3">
      <c r="A3" s="1" t="inlineStr">
        <is>
          <t>第2条数据的数据ID</t>
        </is>
      </c>
      <c r="B3" s="1" t="inlineStr">
        <is>
          <t>在这里填写“磨损率（mg/Mc）”（字符串型）</t>
        </is>
      </c>
      <c r="C3" s="1" t="inlineStr">
        <is>
          <t>在这里填写“磨损因子（mm³/Nm）”（字符串型）</t>
        </is>
      </c>
      <c r="D3" s="1" t="inlineStr">
        <is>
          <t>在这里填写“总重量损失（mg）”（字符串型）</t>
        </is>
      </c>
      <c r="E3" s="1" t="inlineStr">
        <is>
          <t>在这里填写“磨损形貌”（图片型）（请填写文件或图片相对于本Excel文件的路径）</t>
        </is>
      </c>
      <c r="F3" s="1" t="inlineStr">
        <is>
          <t>在这里填写“磨损颗粒大小（nm）”（字符串型）</t>
        </is>
      </c>
      <c r="G3" s="1" t="inlineStr">
        <is>
          <t>在这里填写“磨损颗粒形貌”（图片型）（请填写文件或图片相对于本Excel文件的路径）</t>
        </is>
      </c>
      <c r="H3" s="1" t="inlineStr">
        <is>
          <t>在这里填写“摩擦膜厚度（nm）”（字符串型）</t>
        </is>
      </c>
      <c r="I3" s="1" t="inlineStr">
        <is>
          <t>在这里填写“摩擦膜成分”（字符串型）</t>
        </is>
      </c>
      <c r="J3" s="1" t="inlineStr">
        <is>
          <t>在这里填写“摩擦膜硬度（HV）”（字符串型）</t>
        </is>
      </c>
    </row>
    <row r="4">
      <c r="A4" s="1" t="inlineStr">
        <is>
          <t>第3条数据的数据ID</t>
        </is>
      </c>
      <c r="B4" s="1" t="inlineStr">
        <is>
          <t>在这里填写“磨损率（mg/Mc）”（字符串型）</t>
        </is>
      </c>
      <c r="C4" s="1" t="inlineStr">
        <is>
          <t>在这里填写“磨损因子（mm³/Nm）”（字符串型）</t>
        </is>
      </c>
      <c r="D4" s="1" t="inlineStr">
        <is>
          <t>在这里填写“总重量损失（mg）”（字符串型）</t>
        </is>
      </c>
      <c r="E4" s="1" t="inlineStr">
        <is>
          <t>在这里填写“磨损形貌”（图片型）（请填写文件或图片相对于本Excel文件的路径）</t>
        </is>
      </c>
      <c r="F4" s="1" t="inlineStr">
        <is>
          <t>在这里填写“磨损颗粒大小（nm）”（字符串型）</t>
        </is>
      </c>
      <c r="G4" s="1" t="inlineStr">
        <is>
          <t>在这里填写“磨损颗粒形貌”（图片型）（请填写文件或图片相对于本Excel文件的路径）</t>
        </is>
      </c>
      <c r="H4" s="1" t="inlineStr">
        <is>
          <t>在这里填写“摩擦膜厚度（nm）”（字符串型）</t>
        </is>
      </c>
      <c r="I4" s="1" t="inlineStr">
        <is>
          <t>在这里填写“摩擦膜成分”（字符串型）</t>
        </is>
      </c>
      <c r="J4" s="1" t="inlineStr">
        <is>
          <t>在这里填写“摩擦膜硬度（HV）”（字符串型）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.6" customWidth="1" min="1" max="1"/>
    <col width="96.59999999999999" customWidth="1" min="2" max="2"/>
    <col width="96.59999999999999" customWidth="1" min="3" max="3"/>
    <col width="89.69999999999999" customWidth="1" min="4" max="4"/>
    <col width="96.59999999999999" customWidth="1" min="5" max="5"/>
  </cols>
  <sheetData>
    <row r="1">
      <c r="A1" s="1" t="inlineStr">
        <is>
          <t>数据ID</t>
        </is>
      </c>
      <c r="B1" s="1" t="inlineStr">
        <is>
          <t>体外实验-内衬与球头摩擦腐蚀实验.球头表面成分分析.分析方法</t>
        </is>
      </c>
      <c r="C1" s="1" t="inlineStr">
        <is>
          <t>体外实验-内衬与球头摩擦腐蚀实验.球头表面成分分析.测试环境</t>
        </is>
      </c>
      <c r="D1" s="1" t="inlineStr">
        <is>
          <t>体外实验-内衬与球头摩擦腐蚀实验.球头表面成分分析.成分</t>
        </is>
      </c>
      <c r="E1" s="1" t="inlineStr">
        <is>
          <t>体外实验-内衬与球头摩擦腐蚀实验.球头表面成分分析.成分组成</t>
        </is>
      </c>
    </row>
    <row r="2">
      <c r="A2" s="1" t="inlineStr">
        <is>
          <t>第1条数据的数据ID</t>
        </is>
      </c>
      <c r="B2" s="1" t="inlineStr">
        <is>
          <t>在这里填写“分析方法”（字符串型）</t>
        </is>
      </c>
      <c r="C2" s="1" t="inlineStr">
        <is>
          <t>在这里填写“测试环境”（字符串型）</t>
        </is>
      </c>
      <c r="D2" s="1" t="inlineStr">
        <is>
          <t>在这里填写“成分”（字符串型）</t>
        </is>
      </c>
      <c r="E2" s="1" t="inlineStr">
        <is>
          <t>在这里填写“成分组成”（字符串型）</t>
        </is>
      </c>
    </row>
    <row r="3">
      <c r="A3" s="1" t="inlineStr">
        <is>
          <t>第2条数据的数据ID</t>
        </is>
      </c>
      <c r="B3" s="1" t="inlineStr">
        <is>
          <t>在这里填写“分析方法”（字符串型）</t>
        </is>
      </c>
      <c r="C3" s="1" t="inlineStr">
        <is>
          <t>在这里填写“测试环境”（字符串型）</t>
        </is>
      </c>
      <c r="D3" s="1" t="inlineStr">
        <is>
          <t>在这里填写“成分”（字符串型）</t>
        </is>
      </c>
      <c r="E3" s="1" t="inlineStr">
        <is>
          <t>在这里填写“成分组成”（字符串型）</t>
        </is>
      </c>
    </row>
    <row r="4">
      <c r="A4" s="1" t="inlineStr">
        <is>
          <t>第3条数据的数据ID</t>
        </is>
      </c>
      <c r="B4" s="1" t="inlineStr">
        <is>
          <t>在这里填写“分析方法”（字符串型）</t>
        </is>
      </c>
      <c r="C4" s="1" t="inlineStr">
        <is>
          <t>在这里填写“测试环境”（字符串型）</t>
        </is>
      </c>
      <c r="D4" s="1" t="inlineStr">
        <is>
          <t>在这里填写“成分”（字符串型）</t>
        </is>
      </c>
      <c r="E4" s="1" t="inlineStr">
        <is>
          <t>在这里填写“成分组成”（字符串型）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7.6" customWidth="1" min="1" max="1"/>
    <col width="108.1" customWidth="1" min="2" max="2"/>
    <col width="133.4" customWidth="1" min="3" max="3"/>
    <col width="115" customWidth="1" min="4" max="4"/>
    <col width="104.65" customWidth="1" min="5" max="5"/>
    <col width="112.7" customWidth="1" min="6" max="6"/>
    <col width="111.55" customWidth="1" min="7" max="7"/>
    <col width="117.3" customWidth="1" min="8" max="8"/>
    <col width="108.1" customWidth="1" min="9" max="9"/>
    <col width="113.85" customWidth="1" min="10" max="10"/>
    <col width="111.55" customWidth="1" min="11" max="11"/>
    <col width="119.6" customWidth="1" min="12" max="12"/>
    <col width="118.45" customWidth="1" min="13" max="13"/>
    <col width="117.3" customWidth="1" min="14" max="14"/>
  </cols>
  <sheetData>
    <row r="1">
      <c r="A1" s="1" t="inlineStr">
        <is>
          <t>数据ID</t>
        </is>
      </c>
      <c r="B1" s="1" t="inlineStr">
        <is>
          <t>体外实验-球头与锥颈界面微动腐蚀实验.球头与锥颈-实验设置.测试设备</t>
        </is>
      </c>
      <c r="C1" s="1" t="inlineStr">
        <is>
          <t>体外实验-球头与锥颈界面微动腐蚀实验.球头与锥颈-实验设置.测试设备图片</t>
        </is>
      </c>
      <c r="D1" s="1" t="inlineStr">
        <is>
          <t>体外实验-球头与锥颈界面微动腐蚀实验.球头与锥颈-实验设置.摩擦测试条件</t>
        </is>
      </c>
      <c r="E1" s="1" t="inlineStr">
        <is>
          <t>体外实验-球头与锥颈界面微动腐蚀实验.球头与锥颈-实验设置.负载(N)</t>
        </is>
      </c>
      <c r="F1" s="1" t="inlineStr">
        <is>
          <t>体外实验-球头与锥颈界面微动腐蚀实验.球头与锥颈-实验设置.滑动距离(mm)</t>
        </is>
      </c>
      <c r="G1" s="1" t="inlineStr">
        <is>
          <t>体外实验-球头与锥颈界面微动腐蚀实验.球头与锥颈-实验设置.润滑液类型</t>
        </is>
      </c>
      <c r="H1" s="1" t="inlineStr">
        <is>
          <t>体外实验-球头与锥颈界面微动腐蚀实验.球头与锥颈-实验设置.蛋白质浓度(g/L)</t>
        </is>
      </c>
      <c r="I1" s="1" t="inlineStr">
        <is>
          <t>体外实验-球头与锥颈界面微动腐蚀实验.球头与锥颈-实验设置.测试周期</t>
        </is>
      </c>
      <c r="J1" s="1" t="inlineStr">
        <is>
          <t>体外实验-球头与锥颈界面微动腐蚀实验.球头与锥颈-实验设置.测试温度(℃)</t>
        </is>
      </c>
      <c r="K1" s="1" t="inlineStr">
        <is>
          <t>体外实验-球头与锥颈界面微动腐蚀实验.球头与锥颈-实验设置.测试时间(h)</t>
        </is>
      </c>
      <c r="L1" s="1" t="inlineStr">
        <is>
          <t>体外实验-球头与锥颈界面微动腐蚀实验.球头与锥颈-实验设置.装配扭矩（N·m）</t>
        </is>
      </c>
      <c r="M1" s="1" t="inlineStr">
        <is>
          <t>体外实验-球头与锥颈界面微动腐蚀实验.球头与锥颈-实验设置.接触应力（MPa）</t>
        </is>
      </c>
      <c r="N1" s="1" t="inlineStr">
        <is>
          <t>体外实验-球头与锥颈界面微动腐蚀实验.球头与锥颈-实验设置.微动频率（Hz）</t>
        </is>
      </c>
    </row>
    <row r="2">
      <c r="A2" s="1" t="inlineStr">
        <is>
          <t>第1条数据的数据ID</t>
        </is>
      </c>
      <c r="B2" s="1" t="inlineStr">
        <is>
          <t>在这里填写“测试设备”（字符串型）</t>
        </is>
      </c>
      <c r="C2" s="1" t="inlineStr">
        <is>
          <t>在这里填写“测试设备图片”（图片型）（请填写文件或图片相对于本Excel文件的路径）</t>
        </is>
      </c>
      <c r="D2" s="1" t="inlineStr">
        <is>
          <t>在这里填写“摩擦测试条件”（字符串型）</t>
        </is>
      </c>
      <c r="E2" s="1" t="inlineStr">
        <is>
          <t>在这里填写“负载(N)”（字符串型）</t>
        </is>
      </c>
      <c r="F2" s="1" t="inlineStr">
        <is>
          <t>在这里填写“滑动距离(mm)”（字符串型）</t>
        </is>
      </c>
      <c r="G2" s="1" t="inlineStr">
        <is>
          <t>在这里填写“润滑液类型”（字符串型）</t>
        </is>
      </c>
      <c r="H2" s="1" t="inlineStr">
        <is>
          <t>在这里填写“蛋白质浓度(g/L)”（字符串型）</t>
        </is>
      </c>
      <c r="I2" s="1" t="inlineStr">
        <is>
          <t>在这里填写“测试周期”（字符串型）</t>
        </is>
      </c>
      <c r="J2" s="1" t="inlineStr">
        <is>
          <t>在这里填写“测试温度(℃)”（字符串型）</t>
        </is>
      </c>
      <c r="K2" s="1" t="inlineStr">
        <is>
          <t>在这里填写“测试时间(h)”（字符串型）</t>
        </is>
      </c>
      <c r="L2" s="1" t="inlineStr">
        <is>
          <t>在这里填写“装配扭矩（N·m）”（字符串型）</t>
        </is>
      </c>
      <c r="M2" s="1" t="inlineStr">
        <is>
          <t>在这里填写“接触应力（MPa）”（字符串型）</t>
        </is>
      </c>
      <c r="N2" s="1" t="inlineStr">
        <is>
          <t>在这里填写“微动频率（Hz）”（字符串型）</t>
        </is>
      </c>
    </row>
    <row r="3">
      <c r="A3" s="1" t="inlineStr">
        <is>
          <t>第2条数据的数据ID</t>
        </is>
      </c>
      <c r="B3" s="1" t="inlineStr">
        <is>
          <t>在这里填写“测试设备”（字符串型）</t>
        </is>
      </c>
      <c r="C3" s="1" t="inlineStr">
        <is>
          <t>在这里填写“测试设备图片”（图片型）（请填写文件或图片相对于本Excel文件的路径）</t>
        </is>
      </c>
      <c r="D3" s="1" t="inlineStr">
        <is>
          <t>在这里填写“摩擦测试条件”（字符串型）</t>
        </is>
      </c>
      <c r="E3" s="1" t="inlineStr">
        <is>
          <t>在这里填写“负载(N)”（字符串型）</t>
        </is>
      </c>
      <c r="F3" s="1" t="inlineStr">
        <is>
          <t>在这里填写“滑动距离(mm)”（字符串型）</t>
        </is>
      </c>
      <c r="G3" s="1" t="inlineStr">
        <is>
          <t>在这里填写“润滑液类型”（字符串型）</t>
        </is>
      </c>
      <c r="H3" s="1" t="inlineStr">
        <is>
          <t>在这里填写“蛋白质浓度(g/L)”（字符串型）</t>
        </is>
      </c>
      <c r="I3" s="1" t="inlineStr">
        <is>
          <t>在这里填写“测试周期”（字符串型）</t>
        </is>
      </c>
      <c r="J3" s="1" t="inlineStr">
        <is>
          <t>在这里填写“测试温度(℃)”（字符串型）</t>
        </is>
      </c>
      <c r="K3" s="1" t="inlineStr">
        <is>
          <t>在这里填写“测试时间(h)”（字符串型）</t>
        </is>
      </c>
      <c r="L3" s="1" t="inlineStr">
        <is>
          <t>在这里填写“装配扭矩（N·m）”（字符串型）</t>
        </is>
      </c>
      <c r="M3" s="1" t="inlineStr">
        <is>
          <t>在这里填写“接触应力（MPa）”（字符串型）</t>
        </is>
      </c>
      <c r="N3" s="1" t="inlineStr">
        <is>
          <t>在这里填写“微动频率（Hz）”（字符串型）</t>
        </is>
      </c>
    </row>
    <row r="4">
      <c r="A4" s="1" t="inlineStr">
        <is>
          <t>第3条数据的数据ID</t>
        </is>
      </c>
      <c r="B4" s="1" t="inlineStr">
        <is>
          <t>在这里填写“测试设备”（字符串型）</t>
        </is>
      </c>
      <c r="C4" s="1" t="inlineStr">
        <is>
          <t>在这里填写“测试设备图片”（图片型）（请填写文件或图片相对于本Excel文件的路径）</t>
        </is>
      </c>
      <c r="D4" s="1" t="inlineStr">
        <is>
          <t>在这里填写“摩擦测试条件”（字符串型）</t>
        </is>
      </c>
      <c r="E4" s="1" t="inlineStr">
        <is>
          <t>在这里填写“负载(N)”（字符串型）</t>
        </is>
      </c>
      <c r="F4" s="1" t="inlineStr">
        <is>
          <t>在这里填写“滑动距离(mm)”（字符串型）</t>
        </is>
      </c>
      <c r="G4" s="1" t="inlineStr">
        <is>
          <t>在这里填写“润滑液类型”（字符串型）</t>
        </is>
      </c>
      <c r="H4" s="1" t="inlineStr">
        <is>
          <t>在这里填写“蛋白质浓度(g/L)”（字符串型）</t>
        </is>
      </c>
      <c r="I4" s="1" t="inlineStr">
        <is>
          <t>在这里填写“测试周期”（字符串型）</t>
        </is>
      </c>
      <c r="J4" s="1" t="inlineStr">
        <is>
          <t>在这里填写“测试温度(℃)”（字符串型）</t>
        </is>
      </c>
      <c r="K4" s="1" t="inlineStr">
        <is>
          <t>在这里填写“测试时间(h)”（字符串型）</t>
        </is>
      </c>
      <c r="L4" s="1" t="inlineStr">
        <is>
          <t>在这里填写“装配扭矩（N·m）”（字符串型）</t>
        </is>
      </c>
      <c r="M4" s="1" t="inlineStr">
        <is>
          <t>在这里填写“接触应力（MPa）”（字符串型）</t>
        </is>
      </c>
      <c r="N4" s="1" t="inlineStr">
        <is>
          <t>在这里填写“微动频率（Hz）”（字符串型）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.6" customWidth="1" min="1" max="1"/>
    <col width="126.5" customWidth="1" min="2" max="2"/>
    <col width="119.6" customWidth="1" min="3" max="3"/>
    <col width="129.95" customWidth="1" min="4" max="4"/>
    <col width="119.6" customWidth="1" min="5" max="5"/>
  </cols>
  <sheetData>
    <row r="1">
      <c r="A1" s="1" t="inlineStr">
        <is>
          <t>数据ID</t>
        </is>
      </c>
      <c r="B1" s="1" t="inlineStr">
        <is>
          <t>体外实验-球头与锥颈界面微动腐蚀实验.锥颈与球头-实验环境-润滑液组成.环境名称</t>
        </is>
      </c>
      <c r="C1" s="1" t="inlineStr">
        <is>
          <t>体外实验-球头与锥颈界面微动腐蚀实验.锥颈与球头-实验环境-润滑液组成.成分</t>
        </is>
      </c>
      <c r="D1" s="1" t="inlineStr">
        <is>
          <t>体外实验-球头与锥颈界面微动腐蚀实验.锥颈与球头-实验环境-润滑液组成.浓度或组成</t>
        </is>
      </c>
      <c r="E1" s="1" t="inlineStr">
        <is>
          <t>体外实验-球头与锥颈界面微动腐蚀实验.锥颈与球头-实验环境-润滑液组成.单位</t>
        </is>
      </c>
    </row>
    <row r="2">
      <c r="A2" s="1" t="inlineStr">
        <is>
          <t>第1条数据的数据ID</t>
        </is>
      </c>
      <c r="B2" s="1" t="inlineStr">
        <is>
          <t>在这里填写“环境名称”（字符串型）</t>
        </is>
      </c>
      <c r="C2" s="1" t="inlineStr">
        <is>
          <t>在这里填写“成分”（字符串型）</t>
        </is>
      </c>
      <c r="D2" s="1" t="inlineStr">
        <is>
          <t>在这里填写“浓度或组成”（字符串型）</t>
        </is>
      </c>
      <c r="E2" s="1" t="inlineStr">
        <is>
          <t>在这里填写“单位”（字符串型）</t>
        </is>
      </c>
    </row>
    <row r="3">
      <c r="A3" s="1" t="inlineStr">
        <is>
          <t>第2条数据的数据ID</t>
        </is>
      </c>
      <c r="B3" s="1" t="inlineStr">
        <is>
          <t>在这里填写“环境名称”（字符串型）</t>
        </is>
      </c>
      <c r="C3" s="1" t="inlineStr">
        <is>
          <t>在这里填写“成分”（字符串型）</t>
        </is>
      </c>
      <c r="D3" s="1" t="inlineStr">
        <is>
          <t>在这里填写“浓度或组成”（字符串型）</t>
        </is>
      </c>
      <c r="E3" s="1" t="inlineStr">
        <is>
          <t>在这里填写“单位”（字符串型）</t>
        </is>
      </c>
    </row>
    <row r="4">
      <c r="A4" s="1" t="inlineStr">
        <is>
          <t>第3条数据的数据ID</t>
        </is>
      </c>
      <c r="B4" s="1" t="inlineStr">
        <is>
          <t>在这里填写“环境名称”（字符串型）</t>
        </is>
      </c>
      <c r="C4" s="1" t="inlineStr">
        <is>
          <t>在这里填写“成分”（字符串型）</t>
        </is>
      </c>
      <c r="D4" s="1" t="inlineStr">
        <is>
          <t>在这里填写“浓度或组成”（字符串型）</t>
        </is>
      </c>
      <c r="E4" s="1" t="inlineStr">
        <is>
          <t>在这里填写“单位”（字符串型）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7.6" customWidth="1" min="1" max="1"/>
    <col width="113.85" customWidth="1" min="2" max="2"/>
    <col width="120.75" customWidth="1" min="3" max="3"/>
    <col width="124.2" customWidth="1" min="4" max="4"/>
    <col width="133.4" customWidth="1" min="5" max="5"/>
    <col width="120.75" customWidth="1" min="6" max="6"/>
    <col width="106.95" customWidth="1" min="7" max="7"/>
    <col width="110.4" customWidth="1" min="8" max="8"/>
    <col width="113.85" customWidth="1" min="9" max="9"/>
  </cols>
  <sheetData>
    <row r="1">
      <c r="A1" s="1" t="inlineStr">
        <is>
          <t>数据ID</t>
        </is>
      </c>
      <c r="B1" s="1" t="inlineStr">
        <is>
          <t>体外实验-球头与锥颈界面微动腐蚀实验.腐蚀与磨损实验结果.微动摩擦系数</t>
        </is>
      </c>
      <c r="C1" s="1" t="inlineStr">
        <is>
          <t>体外实验-球头与锥颈界面微动腐蚀实验.腐蚀与磨损实验结果.微动磨损体积(mm³)</t>
        </is>
      </c>
      <c r="D1" s="1" t="inlineStr">
        <is>
          <t>体外实验-球头与锥颈界面微动腐蚀实验.腐蚀与磨损实验结果.微动腐蚀速率(μm/年)</t>
        </is>
      </c>
      <c r="E1" s="1" t="inlineStr">
        <is>
          <t>体外实验-球头与锥颈界面微动腐蚀实验.腐蚀与磨损实验结果.磨损颗粒形貌</t>
        </is>
      </c>
      <c r="F1" s="1" t="inlineStr">
        <is>
          <t>体外实验-球头与锥颈界面微动腐蚀实验.腐蚀与磨损实验结果.磨损颗粒形貌描述</t>
        </is>
      </c>
      <c r="G1" s="1" t="inlineStr">
        <is>
          <t>体外实验-球头与锥颈界面微动腐蚀实验.腐蚀与磨损实验结果.腐蚀产物</t>
        </is>
      </c>
      <c r="H1" s="1" t="inlineStr">
        <is>
          <t>体外实验-球头与锥颈界面微动腐蚀实验.腐蚀与磨损实验结果.离子释放量</t>
        </is>
      </c>
      <c r="I1" s="1" t="inlineStr">
        <is>
          <t>体外实验-球头与锥颈界面微动腐蚀实验.腐蚀与磨损实验结果.界面失效模式</t>
        </is>
      </c>
    </row>
    <row r="2">
      <c r="A2" s="1" t="inlineStr">
        <is>
          <t>第1条数据的数据ID</t>
        </is>
      </c>
      <c r="B2" s="1" t="inlineStr">
        <is>
          <t>在这里填写“微动摩擦系数”（字符串型）</t>
        </is>
      </c>
      <c r="C2" s="1" t="inlineStr">
        <is>
          <t>在这里填写“微动磨损体积(mm³)”（字符串型）</t>
        </is>
      </c>
      <c r="D2" s="1" t="inlineStr">
        <is>
          <t>在这里填写“微动腐蚀速率(μm/年)”（字符串型）</t>
        </is>
      </c>
      <c r="E2" s="1" t="inlineStr">
        <is>
          <t>在这里填写“磨损颗粒形貌”（图片型）（请填写文件或图片相对于本Excel文件的路径）</t>
        </is>
      </c>
      <c r="F2" s="1" t="inlineStr">
        <is>
          <t>在这里填写“磨损颗粒形貌描述”（字符串型）</t>
        </is>
      </c>
      <c r="G2" s="1" t="inlineStr">
        <is>
          <t>在这里填写“腐蚀产物”（字符串型）</t>
        </is>
      </c>
      <c r="H2" s="1" t="inlineStr">
        <is>
          <t>在这里填写“离子释放量”（字符串型）</t>
        </is>
      </c>
      <c r="I2" s="1" t="inlineStr">
        <is>
          <t>在这里填写“界面失效模式”（字符串型）</t>
        </is>
      </c>
    </row>
    <row r="3">
      <c r="A3" s="1" t="inlineStr">
        <is>
          <t>第2条数据的数据ID</t>
        </is>
      </c>
      <c r="B3" s="1" t="inlineStr">
        <is>
          <t>在这里填写“微动摩擦系数”（字符串型）</t>
        </is>
      </c>
      <c r="C3" s="1" t="inlineStr">
        <is>
          <t>在这里填写“微动磨损体积(mm³)”（字符串型）</t>
        </is>
      </c>
      <c r="D3" s="1" t="inlineStr">
        <is>
          <t>在这里填写“微动腐蚀速率(μm/年)”（字符串型）</t>
        </is>
      </c>
      <c r="E3" s="1" t="inlineStr">
        <is>
          <t>在这里填写“磨损颗粒形貌”（图片型）（请填写文件或图片相对于本Excel文件的路径）</t>
        </is>
      </c>
      <c r="F3" s="1" t="inlineStr">
        <is>
          <t>在这里填写“磨损颗粒形貌描述”（字符串型）</t>
        </is>
      </c>
      <c r="G3" s="1" t="inlineStr">
        <is>
          <t>在这里填写“腐蚀产物”（字符串型）</t>
        </is>
      </c>
      <c r="H3" s="1" t="inlineStr">
        <is>
          <t>在这里填写“离子释放量”（字符串型）</t>
        </is>
      </c>
      <c r="I3" s="1" t="inlineStr">
        <is>
          <t>在这里填写“界面失效模式”（字符串型）</t>
        </is>
      </c>
    </row>
    <row r="4">
      <c r="A4" s="1" t="inlineStr">
        <is>
          <t>第3条数据的数据ID</t>
        </is>
      </c>
      <c r="B4" s="1" t="inlineStr">
        <is>
          <t>在这里填写“微动摩擦系数”（字符串型）</t>
        </is>
      </c>
      <c r="C4" s="1" t="inlineStr">
        <is>
          <t>在这里填写“微动磨损体积(mm³)”（字符串型）</t>
        </is>
      </c>
      <c r="D4" s="1" t="inlineStr">
        <is>
          <t>在这里填写“微动腐蚀速率(μm/年)”（字符串型）</t>
        </is>
      </c>
      <c r="E4" s="1" t="inlineStr">
        <is>
          <t>在这里填写“磨损颗粒形貌”（图片型）（请填写文件或图片相对于本Excel文件的路径）</t>
        </is>
      </c>
      <c r="F4" s="1" t="inlineStr">
        <is>
          <t>在这里填写“磨损颗粒形貌描述”（字符串型）</t>
        </is>
      </c>
      <c r="G4" s="1" t="inlineStr">
        <is>
          <t>在这里填写“腐蚀产物”（字符串型）</t>
        </is>
      </c>
      <c r="H4" s="1" t="inlineStr">
        <is>
          <t>在这里填写“离子释放量”（字符串型）</t>
        </is>
      </c>
      <c r="I4" s="1" t="inlineStr">
        <is>
          <t>在这里填写“界面失效模式”（字符串型）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2025-08-23T11:21:19Z</dcterms:created>
  <dcterms:modified xmlns:dcterms="http://purl.org/dc/terms/" xmlns:xsi="http://www.w3.org/2001/XMLSchema-instance" xsi:type="dcterms:W3CDTF">2025-08-23T11:21:19Z</dcterms:modified>
</cp:coreProperties>
</file>