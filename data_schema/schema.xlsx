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8"/>
  </bookViews>
  <sheets>
    <sheet name="1" sheetId="3" r:id="rId1"/>
    <sheet name="2" sheetId="12" r:id="rId2"/>
    <sheet name="3" sheetId="4" r:id="rId3"/>
    <sheet name="4" sheetId="19" r:id="rId4"/>
    <sheet name="5" sheetId="8" r:id="rId5"/>
    <sheet name="6" sheetId="15" r:id="rId6"/>
    <sheet name="7" sheetId="6" r:id="rId7"/>
    <sheet name="8" sheetId="10" r:id="rId8"/>
    <sheet name="9" sheetId="23" r:id="rId9"/>
    <sheet name="10" sheetId="20" r:id="rId10"/>
    <sheet name="11" sheetId="2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9A68F66D52CD4DCBA013B07B0FB87912" descr="1"/>
        <xdr:cNvPicPr/>
      </xdr:nvPicPr>
      <xdr:blipFill>
        <a:blip r:embed="rId1"/>
        <a:stretch>
          <a:fillRect/>
        </a:stretch>
      </xdr:blipFill>
      <xdr:spPr>
        <a:xfrm>
          <a:off x="0" y="0"/>
          <a:ext cx="10058400" cy="8101965"/>
        </a:xfrm>
        <a:prstGeom prst="rect">
          <a:avLst/>
        </a:prstGeom>
      </xdr:spPr>
    </xdr:pic>
  </etc:cellImage>
  <etc:cellImage>
    <xdr:pic>
      <xdr:nvPicPr>
        <xdr:cNvPr id="3" name="ID_43491084875C473E854C66FCE5A35844" descr="2"/>
        <xdr:cNvPicPr/>
      </xdr:nvPicPr>
      <xdr:blipFill>
        <a:blip r:embed="rId2"/>
        <a:stretch>
          <a:fillRect/>
        </a:stretch>
      </xdr:blipFill>
      <xdr:spPr>
        <a:xfrm>
          <a:off x="0" y="0"/>
          <a:ext cx="3200400" cy="280987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<sst xmlns="http://schemas.openxmlformats.org/spreadsheetml/2006/main" count="250" uniqueCount="117">
  <si>
    <t>数据ID</t>
  </si>
  <si>
    <t>应用部位</t>
  </si>
  <si>
    <t>产品所属专利号或文献</t>
  </si>
  <si>
    <t>髋关节</t>
  </si>
  <si>
    <t>To what extent could the acetabular liner thickness be reduced yet remaining tribologically acceptable in metal-on-vitamin E-diffused crosslinked polyethylene hip arthroplasty?</t>
  </si>
  <si>
    <t>Influence of liner offset and locking mechanism on fatigue durability in highly cross-linked polyethylene total hip prostheses</t>
  </si>
  <si>
    <t>Dynamic analysis and life estimation of the Artificial hip joint prosthesis</t>
  </si>
  <si>
    <t>内衬材料类别</t>
  </si>
  <si>
    <t>内衬材料名称</t>
  </si>
  <si>
    <t>内衬厚度(mm)</t>
  </si>
  <si>
    <t>内衬偏移(mm)</t>
  </si>
  <si>
    <t>内衬锁定机制</t>
  </si>
  <si>
    <t>内衬加工工艺</t>
  </si>
  <si>
    <t>内衬后处理</t>
  </si>
  <si>
    <t>高分子聚合物</t>
  </si>
  <si>
    <t>Vit-E diffused XLPE</t>
  </si>
  <si>
    <t>4.3、6.3、10.3</t>
  </si>
  <si>
    <t>无</t>
  </si>
  <si>
    <t>等静压成型</t>
  </si>
  <si>
    <t>维生素E扩散后，在 130°C 下均质退火24小时、机械加工及抛光</t>
  </si>
  <si>
    <t>annealed and the vitamin E-blended HXLPE</t>
  </si>
  <si>
    <t>4、5、6</t>
  </si>
  <si>
    <t>2、3、4</t>
  </si>
  <si>
    <t>6个防旋卡扣 (有卡扣支持区、无卡扣悬空区)</t>
  </si>
  <si>
    <t>压缩成型</t>
  </si>
  <si>
    <t>真空环境下 110℃保温72小时、机械加工</t>
  </si>
  <si>
    <t>陶瓷、高分子聚合物</t>
  </si>
  <si>
    <t>ZTA 复合材料（95wt%Al₂O₃、5wt%3YSZ）、UHMWPE</t>
  </si>
  <si>
    <t xml:space="preserve">  </t>
  </si>
  <si>
    <t>球头材料类别</t>
  </si>
  <si>
    <t>球头材料名称</t>
  </si>
  <si>
    <t>球头直径(mm)</t>
  </si>
  <si>
    <t>球头纹理</t>
  </si>
  <si>
    <t>球头加工工艺</t>
  </si>
  <si>
    <t>球头后处理</t>
  </si>
  <si>
    <t>金属</t>
  </si>
  <si>
    <t>CoCr</t>
  </si>
  <si>
    <t>陶瓷、金属</t>
  </si>
  <si>
    <t>ZTA 复合材料（95wt%Al₂O₃、5wt%3YSZ）、Ti6Al4V</t>
  </si>
  <si>
    <t>28、30、32</t>
  </si>
  <si>
    <t>内衬-球头径向间隙(mm)</t>
  </si>
  <si>
    <t>0.025-0.2</t>
  </si>
  <si>
    <t>股骨柄材料类别</t>
  </si>
  <si>
    <t>股骨柄材料名称</t>
  </si>
  <si>
    <t>锥度(°)</t>
  </si>
  <si>
    <t>锥颈尺寸</t>
  </si>
  <si>
    <t>颈长(mm)</t>
  </si>
  <si>
    <t>锥套设计</t>
  </si>
  <si>
    <t>锥度间隙(°)</t>
  </si>
  <si>
    <t>股骨柄颈干角(°)</t>
  </si>
  <si>
    <t>股骨柄偏心距(mm)</t>
  </si>
  <si>
    <t>股骨柄拓扑结构</t>
  </si>
  <si>
    <t>股骨柄孔隙率(%)</t>
  </si>
  <si>
    <t>股骨柄横截面</t>
  </si>
  <si>
    <t>柄体长度H(mm)</t>
  </si>
  <si>
    <t>股骨柄加工工艺</t>
  </si>
  <si>
    <t>股骨柄后处理</t>
  </si>
  <si>
    <t>颈部直径10.85至14.73mm</t>
  </si>
  <si>
    <t>Ti6Al4V</t>
  </si>
  <si>
    <t>12/14mm</t>
  </si>
  <si>
    <t>30.03mm</t>
  </si>
  <si>
    <t>130°</t>
  </si>
  <si>
    <t>内衬硬度(HV)</t>
  </si>
  <si>
    <t>内衬表面粗糙度(μm)</t>
  </si>
  <si>
    <t>内衬弹性模量(GPa)</t>
  </si>
  <si>
    <t>内衬抗压强度(MPa)</t>
  </si>
  <si>
    <t>内衬屈服强度(MPa)</t>
  </si>
  <si>
    <t>内衬密度(g/cm³)</t>
  </si>
  <si>
    <t>内衬泊松比</t>
  </si>
  <si>
    <t>375、1</t>
  </si>
  <si>
    <t>无、23.56</t>
  </si>
  <si>
    <t>无、0.93</t>
  </si>
  <si>
    <t>0.3、0.4</t>
  </si>
  <si>
    <t>球头硬度(HV)</t>
  </si>
  <si>
    <t>球头表面粗糙度(nm)</t>
  </si>
  <si>
    <t>弹性模量(GPa)</t>
  </si>
  <si>
    <t>球头抗压强度(MPa)</t>
  </si>
  <si>
    <t>球头屈服强度(MPa)</t>
  </si>
  <si>
    <t>球头密度(g/cm³)</t>
  </si>
  <si>
    <t>球头泊松比</t>
  </si>
  <si>
    <t>Ra（FH10.3: 16.7±5.8nm；FH6.3: 6.7±5.8nm；FH4.3: 10.0±0.0nm）；Rt（FH4.3：187.8±103.3nm）</t>
  </si>
  <si>
    <t>375、110</t>
  </si>
  <si>
    <t>无、800</t>
  </si>
  <si>
    <t>无、4.5</t>
  </si>
  <si>
    <t>股骨柄硬度(HV)</t>
  </si>
  <si>
    <t>股骨柄表面粗糙度(μm)</t>
  </si>
  <si>
    <t>股骨柄弹性模量(GPa)</t>
  </si>
  <si>
    <t>股骨柄抗压强度(MPa)</t>
  </si>
  <si>
    <t>股骨柄屈服强度(MPa)</t>
  </si>
  <si>
    <t>股骨柄密度(g/cm³)</t>
  </si>
  <si>
    <t>股骨柄泊松比</t>
  </si>
  <si>
    <t>内衬相含量变化</t>
  </si>
  <si>
    <t>累计磨损量</t>
  </si>
  <si>
    <t>磨损率</t>
  </si>
  <si>
    <t>抗疲劳性</t>
  </si>
  <si>
    <t>接触应力</t>
  </si>
  <si>
    <t>Von Mises应力</t>
  </si>
  <si>
    <t>非晶相:薄组增加2.5%, 中组增加1.3%, 厚组增加0.4%；中间相:薄组减少2.2%；结晶相:各组无显著变化</t>
  </si>
  <si>
    <t>11.52±1.12、17.90±3.62、47.05±18.99mg（10.3、6.3、4.3mm）</t>
  </si>
  <si>
    <t>2.30±0.22、3.58±0.72、9.41±3.80mg/million cycles（10.3、6.3、4.3mm）</t>
  </si>
  <si>
    <t>峰值接触应力：9.0-15.8MPa、9.8-19.1MPa、11.1 - 22.3MPa（10.3、6.3、4.3mm）</t>
  </si>
  <si>
    <t>2mm和4mm卡扣区域的结晶相含量显著增加至49.6±4.1和 54.5±2.0vol%。2mm卡扣区域的中间相含量从8.8±9.4降至6.7±5.1vol%，4mm卡扣区域的中间相含量从4.6±5.4 显著降至0.7±1.7vol%。2mm卡扣区域的无定形相含量从47.4±9.4显著降至43.6±4.9vol%，4mm卡扣区域的无定形相含量从50.9±5.3显著降至44.8±2.2vol%；2mm无卡扣区域的结晶相含量从49.6±4.1显著降至23.4±2.8vol%，4mm无卡扣区域的结晶相含量从44.4±1.6 显著降至31.0±2.5vol%。2mm无卡扣区域的中间相含量从8.8±9.4显著增加至27.6vol%，4mm无卡扣区域的中间相含量从4.6±5.4显著增加至14.7±4.5vol%。2mm无卡扣区域的无定形相含量从47.4±9.4增加至 49.0±4.7vol%，4mm无卡扣区域的无定形相含量从50.9±5.3显著增加至 54.4±3.5vol%。</t>
  </si>
  <si>
    <t>偏心距越小 (内衬越薄)，失效循环次数越少 (疲劳寿命越短)；无卡扣区域 的失效循环次数显著低于有卡扣区域</t>
  </si>
  <si>
    <t>0.062mm/年</t>
  </si>
  <si>
    <t>Von Mises应力 (Ceramic) ：182.33、180.88、179.5MPa（28mm、30mm、32mm）；应力分布规律：随着球头直径增加，应力值减小</t>
  </si>
  <si>
    <t>计算建模软件</t>
  </si>
  <si>
    <t>计算建模输入参数</t>
  </si>
  <si>
    <t>计算建模输出参数</t>
  </si>
  <si>
    <t>Mathematica 5</t>
  </si>
  <si>
    <t>内衬厚度（10.3、6.3、4.3mm）</t>
  </si>
  <si>
    <t>ANSYS 17.2</t>
  </si>
  <si>
    <t>球头直径（28mm、30mm、32mm）</t>
  </si>
  <si>
    <t>Von Mises应力 (Ceramic) ：182.33、180.88、179.5MPa（28mm、30mm、32mm）；应力分布规律：随着球头直径增加，应力值减小；磨损深度：0.062mm (仅针对30mmZTA优选组)；磨损率：0.062mm/年</t>
  </si>
  <si>
    <t>计算建模模拟结构图</t>
  </si>
  <si>
    <t>计算建模模拟结构图说明</t>
  </si>
  <si>
    <t>载荷（3000 N）、泊松比（0.425）、弹性模量（676 MPa）、球头半径（14mm）、径向间隙（0.025-0.2 mm）</t>
  </si>
  <si>
    <t>柄长81.73mm、垂直高度24.65mm、内侧偏移量38.58mm、颈长30.03mm、锥角12/14、颈干角130°。对应28mm、30mm和32mm股骨头的髋臼杯内外径分别为38.02/48mm、40.02/50mm和42.02/52mm。将三个模型均导入ANSYS 17.2软件，采用四面体单元对全髋关节置换模型进行精细网格划分，单元尺寸为2.5mm。其中28mm、30mm和32mm全髋关节置换模型的网格节点数分别为421,960、430,105和439,268，单元数分别为290,078、295,434和301,434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</si>
</sst>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sz val="12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/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58" fontId="0" fillId="0" borderId="0" xfId="0" applyNumberForma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www.wps.cn/officeDocument/2020/cellImage" Target="cellimag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"/>
  <sheetViews>
    <sheetView workbookViewId="0">
      <selection activeCell="D24" sqref="D24"/>
    </sheetView>
  </sheetViews>
  <sheetFormatPr defaultColWidth="9" defaultRowHeight="13.5" outlineLevelRow="3" outlineLevelCol="2"/>
  <cols>
    <col min="1" max="1" width="27.6" customWidth="1"/>
    <col min="2" max="2" width="58.65" customWidth="1"/>
    <col min="3" max="3" width="79.35" customWidth="1"/>
  </cols>
  <sheetData>
    <row r="1" spans="1:3">
      <c r="A1" s="1" t="s">
        <v>0</v>
      </c>
      <c r="B1" s="1" t="s">
        <v>1</v>
      </c>
      <c r="C1" s="1" t="s">
        <v>2</v>
      </c>
    </row>
    <row r="2" ht="40.5" spans="1:3">
      <c r="A2" s="1">
        <v>1</v>
      </c>
      <c r="B2" s="1" t="s">
        <v>3</v>
      </c>
      <c r="C2" s="1" t="s">
        <v>4</v>
      </c>
    </row>
    <row r="3" ht="27" spans="1:3">
      <c r="A3" s="1">
        <v>2</v>
      </c>
      <c r="B3" s="1" t="s">
        <v>3</v>
      </c>
      <c r="C3" s="1" t="s">
        <v>5</v>
      </c>
    </row>
    <row r="4" spans="1:3">
      <c r="A4" s="1">
        <v>3</v>
      </c>
      <c r="B4" s="1" t="s">
        <v>3</v>
      </c>
      <c r="C4" s="1" t="s">
        <v>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0"/>
  <sheetViews>
    <sheetView workbookViewId="0">
      <selection activeCell="G46" sqref="G46"/>
    </sheetView>
  </sheetViews>
  <sheetFormatPr defaultColWidth="9" defaultRowHeight="13.5" outlineLevelCol="7"/>
  <cols>
    <col min="1" max="1" width="27.6" customWidth="1"/>
    <col min="2" max="3" width="58.65" customWidth="1"/>
    <col min="4" max="5" width="63.25" customWidth="1"/>
    <col min="6" max="6" width="65.55" customWidth="1"/>
    <col min="7" max="8" width="58.65" customWidth="1"/>
  </cols>
  <sheetData>
    <row r="1" spans="1:8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</row>
    <row r="2" spans="1:8">
      <c r="A2" s="1">
        <v>1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17</v>
      </c>
      <c r="G2" s="1" t="s">
        <v>18</v>
      </c>
      <c r="H2" s="1" t="s">
        <v>19</v>
      </c>
    </row>
    <row r="3" spans="1:8">
      <c r="A3" s="1">
        <v>2</v>
      </c>
      <c r="B3" s="1" t="s">
        <v>14</v>
      </c>
      <c r="C3" s="1" t="s">
        <v>20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</row>
    <row r="4" ht="15" spans="1:8">
      <c r="A4" s="1">
        <v>3</v>
      </c>
      <c r="B4" s="1" t="s">
        <v>26</v>
      </c>
      <c r="C4" s="1" t="s">
        <v>27</v>
      </c>
      <c r="D4" s="1">
        <v>5</v>
      </c>
      <c r="E4" s="1" t="s">
        <v>17</v>
      </c>
      <c r="F4" s="1" t="s">
        <v>17</v>
      </c>
      <c r="G4" s="1" t="s">
        <v>17</v>
      </c>
      <c r="H4" s="1" t="s">
        <v>17</v>
      </c>
    </row>
    <row r="50" spans="2:2">
      <c r="B50" t="s">
        <v>28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topLeftCell="C1" workbookViewId="0">
      <selection activeCell="D16" sqref="D16"/>
    </sheetView>
  </sheetViews>
  <sheetFormatPr defaultColWidth="9" defaultRowHeight="13.5" outlineLevelRow="3" outlineLevelCol="6"/>
  <cols>
    <col min="1" max="1" width="27.6" customWidth="1"/>
    <col min="2" max="3" width="58.65" customWidth="1"/>
    <col min="4" max="4" width="63.25" customWidth="1"/>
    <col min="5" max="7" width="58.65" customWidth="1"/>
  </cols>
  <sheetData>
    <row r="1" spans="1:7">
      <c r="A1" s="1" t="s">
        <v>0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</row>
    <row r="2" spans="1:7">
      <c r="A2" s="1">
        <v>1</v>
      </c>
      <c r="B2" s="1" t="s">
        <v>35</v>
      </c>
      <c r="C2" s="1" t="s">
        <v>36</v>
      </c>
      <c r="D2" s="1">
        <v>28</v>
      </c>
      <c r="E2" s="1" t="s">
        <v>17</v>
      </c>
      <c r="F2" s="1" t="s">
        <v>17</v>
      </c>
      <c r="G2" s="1" t="s">
        <v>17</v>
      </c>
    </row>
    <row r="3" spans="1:7">
      <c r="A3" s="1">
        <v>2</v>
      </c>
      <c r="B3" s="1" t="s">
        <v>35</v>
      </c>
      <c r="C3" s="1" t="s">
        <v>36</v>
      </c>
      <c r="D3" s="1">
        <v>36</v>
      </c>
      <c r="E3" s="1" t="s">
        <v>17</v>
      </c>
      <c r="F3" s="1" t="s">
        <v>17</v>
      </c>
      <c r="G3" s="1" t="s">
        <v>17</v>
      </c>
    </row>
    <row r="4" ht="15" spans="1:7">
      <c r="A4" s="1">
        <v>3</v>
      </c>
      <c r="B4" s="1" t="s">
        <v>37</v>
      </c>
      <c r="C4" s="3" t="s">
        <v>38</v>
      </c>
      <c r="D4" s="1" t="s">
        <v>39</v>
      </c>
      <c r="E4" s="1" t="s">
        <v>17</v>
      </c>
      <c r="F4" s="1" t="s">
        <v>17</v>
      </c>
      <c r="G4" s="1" t="s">
        <v>17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"/>
  <sheetViews>
    <sheetView workbookViewId="0">
      <selection activeCell="B23" sqref="B23"/>
    </sheetView>
  </sheetViews>
  <sheetFormatPr defaultColWidth="9" defaultRowHeight="13.5" outlineLevelRow="3" outlineLevelCol="1"/>
  <cols>
    <col min="1" max="1" width="27.6" customWidth="1"/>
    <col min="2" max="2" width="64.4" customWidth="1"/>
  </cols>
  <sheetData>
    <row r="1" spans="1:2">
      <c r="A1" s="1" t="s">
        <v>0</v>
      </c>
      <c r="B1" s="1" t="s">
        <v>40</v>
      </c>
    </row>
    <row r="2" spans="1:2">
      <c r="A2" s="1">
        <v>1</v>
      </c>
      <c r="B2" s="1" t="s">
        <v>41</v>
      </c>
    </row>
    <row r="3" spans="1:2">
      <c r="A3" s="1">
        <v>2</v>
      </c>
      <c r="B3" s="1" t="s">
        <v>17</v>
      </c>
    </row>
    <row r="4" spans="1:2">
      <c r="A4" s="1">
        <v>3</v>
      </c>
      <c r="B4" s="1">
        <v>0.1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"/>
  <sheetViews>
    <sheetView topLeftCell="L1" workbookViewId="0">
      <selection activeCell="O24" sqref="O24"/>
    </sheetView>
  </sheetViews>
  <sheetFormatPr defaultColWidth="9" defaultRowHeight="13.5" outlineLevelRow="3"/>
  <cols>
    <col min="1" max="1" width="27.6" customWidth="1"/>
    <col min="2" max="3" width="58.65" customWidth="1"/>
    <col min="4" max="4" width="56.35" customWidth="1"/>
    <col min="5" max="5" width="58.65" customWidth="1"/>
    <col min="6" max="6" width="56.35" customWidth="1"/>
    <col min="7" max="7" width="58.65" customWidth="1"/>
    <col min="8" max="8" width="63.25" customWidth="1"/>
    <col min="9" max="10" width="70.15" customWidth="1"/>
    <col min="11" max="12" width="69" customWidth="1"/>
    <col min="13" max="13" width="65.55" customWidth="1"/>
    <col min="14" max="14" width="71.3" customWidth="1"/>
    <col min="15" max="16" width="58.65" customWidth="1"/>
  </cols>
  <sheetData>
    <row r="1" spans="1:16">
      <c r="A1" s="1" t="s">
        <v>0</v>
      </c>
      <c r="B1" s="1" t="s">
        <v>42</v>
      </c>
      <c r="C1" s="1" t="s">
        <v>43</v>
      </c>
      <c r="D1" s="1" t="s">
        <v>44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  <c r="K1" s="1" t="s">
        <v>51</v>
      </c>
      <c r="L1" s="1" t="s">
        <v>52</v>
      </c>
      <c r="M1" s="1" t="s">
        <v>53</v>
      </c>
      <c r="N1" s="1" t="s">
        <v>54</v>
      </c>
      <c r="O1" s="1" t="s">
        <v>55</v>
      </c>
      <c r="P1" s="1" t="s">
        <v>56</v>
      </c>
    </row>
    <row r="2" spans="1:16">
      <c r="A2" s="1">
        <v>1</v>
      </c>
      <c r="B2" s="1" t="s">
        <v>35</v>
      </c>
      <c r="C2" s="1" t="s">
        <v>36</v>
      </c>
      <c r="D2" s="1" t="s">
        <v>17</v>
      </c>
      <c r="E2" s="1" t="s">
        <v>17</v>
      </c>
      <c r="F2" s="1" t="s">
        <v>17</v>
      </c>
      <c r="G2" s="1" t="s">
        <v>17</v>
      </c>
      <c r="H2" s="1" t="s">
        <v>17</v>
      </c>
      <c r="I2" s="1" t="s">
        <v>17</v>
      </c>
      <c r="J2" s="1" t="s">
        <v>17</v>
      </c>
      <c r="K2" s="1" t="s">
        <v>17</v>
      </c>
      <c r="L2" s="1" t="s">
        <v>17</v>
      </c>
      <c r="M2" s="1" t="s">
        <v>17</v>
      </c>
      <c r="N2" s="1" t="s">
        <v>17</v>
      </c>
      <c r="O2" s="1" t="s">
        <v>17</v>
      </c>
      <c r="P2" s="1" t="s">
        <v>17</v>
      </c>
    </row>
    <row r="3" spans="1:16">
      <c r="A3" s="1">
        <v>2</v>
      </c>
      <c r="B3" s="1" t="s">
        <v>35</v>
      </c>
      <c r="C3" s="1" t="s">
        <v>36</v>
      </c>
      <c r="D3" s="1" t="s">
        <v>17</v>
      </c>
      <c r="E3" s="1" t="s">
        <v>57</v>
      </c>
      <c r="F3" s="1" t="s">
        <v>17</v>
      </c>
      <c r="G3" s="1" t="s">
        <v>17</v>
      </c>
      <c r="H3" s="1" t="s">
        <v>17</v>
      </c>
      <c r="I3" s="1" t="s">
        <v>17</v>
      </c>
      <c r="J3" s="1" t="s">
        <v>17</v>
      </c>
      <c r="K3" s="1" t="s">
        <v>17</v>
      </c>
      <c r="L3" s="1" t="s">
        <v>17</v>
      </c>
      <c r="M3" s="1" t="s">
        <v>17</v>
      </c>
      <c r="N3" s="1" t="s">
        <v>17</v>
      </c>
      <c r="O3" s="1" t="s">
        <v>17</v>
      </c>
      <c r="P3" s="1" t="s">
        <v>17</v>
      </c>
    </row>
    <row r="4" spans="1:16">
      <c r="A4" s="1">
        <v>3</v>
      </c>
      <c r="B4" s="1" t="s">
        <v>35</v>
      </c>
      <c r="C4" s="1" t="s">
        <v>58</v>
      </c>
      <c r="D4" s="1" t="s">
        <v>17</v>
      </c>
      <c r="E4" s="2" t="s">
        <v>59</v>
      </c>
      <c r="F4" s="1" t="s">
        <v>60</v>
      </c>
      <c r="G4" s="1" t="s">
        <v>17</v>
      </c>
      <c r="H4" s="1" t="s">
        <v>17</v>
      </c>
      <c r="I4" s="1" t="s">
        <v>61</v>
      </c>
      <c r="J4" s="1" t="s">
        <v>17</v>
      </c>
      <c r="K4" s="1" t="s">
        <v>17</v>
      </c>
      <c r="L4" s="1" t="s">
        <v>17</v>
      </c>
      <c r="M4" s="1" t="s">
        <v>17</v>
      </c>
      <c r="N4" s="1">
        <v>81.73</v>
      </c>
      <c r="O4" s="1" t="s">
        <v>17</v>
      </c>
      <c r="P4" s="1" t="s">
        <v>17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topLeftCell="D1" workbookViewId="0">
      <selection activeCell="G43" sqref="G43"/>
    </sheetView>
  </sheetViews>
  <sheetFormatPr defaultColWidth="9" defaultRowHeight="13.5" outlineLevelRow="3" outlineLevelCol="7"/>
  <cols>
    <col min="1" max="1" width="27.6" customWidth="1"/>
    <col min="2" max="2" width="56.35" customWidth="1"/>
    <col min="3" max="3" width="67.85" customWidth="1"/>
    <col min="4" max="6" width="64.4" customWidth="1"/>
    <col min="7" max="7" width="60.95" customWidth="1"/>
    <col min="8" max="8" width="55.2" customWidth="1"/>
  </cols>
  <sheetData>
    <row r="1" spans="1:8">
      <c r="A1" s="1" t="s">
        <v>0</v>
      </c>
      <c r="B1" s="1" t="s">
        <v>62</v>
      </c>
      <c r="C1" s="1" t="s">
        <v>63</v>
      </c>
      <c r="D1" s="1" t="s">
        <v>64</v>
      </c>
      <c r="E1" s="1" t="s">
        <v>65</v>
      </c>
      <c r="F1" s="1" t="s">
        <v>66</v>
      </c>
      <c r="G1" s="1" t="s">
        <v>67</v>
      </c>
      <c r="H1" s="1" t="s">
        <v>68</v>
      </c>
    </row>
    <row r="2" spans="1:8">
      <c r="A2" s="1">
        <v>1</v>
      </c>
      <c r="B2" s="1" t="s">
        <v>17</v>
      </c>
      <c r="C2" s="1" t="s">
        <v>17</v>
      </c>
      <c r="D2" s="1">
        <v>0.676</v>
      </c>
      <c r="E2" s="1" t="s">
        <v>17</v>
      </c>
      <c r="F2" s="1" t="s">
        <v>17</v>
      </c>
      <c r="G2" s="1" t="s">
        <v>17</v>
      </c>
      <c r="H2" s="1">
        <v>0.425</v>
      </c>
    </row>
    <row r="3" spans="1:8">
      <c r="A3" s="1">
        <v>2</v>
      </c>
      <c r="B3" s="1" t="s">
        <v>17</v>
      </c>
      <c r="C3" s="1" t="s">
        <v>17</v>
      </c>
      <c r="D3" s="1" t="s">
        <v>17</v>
      </c>
      <c r="E3" s="1" t="s">
        <v>17</v>
      </c>
      <c r="F3" s="1" t="s">
        <v>17</v>
      </c>
      <c r="G3" s="1" t="s">
        <v>17</v>
      </c>
      <c r="H3" s="1" t="s">
        <v>17</v>
      </c>
    </row>
    <row r="4" spans="1:8">
      <c r="A4" s="1">
        <v>3</v>
      </c>
      <c r="B4" s="1" t="s">
        <v>17</v>
      </c>
      <c r="C4" s="1" t="s">
        <v>17</v>
      </c>
      <c r="D4" s="1" t="s">
        <v>69</v>
      </c>
      <c r="E4" s="1" t="s">
        <v>17</v>
      </c>
      <c r="F4" s="1" t="s">
        <v>70</v>
      </c>
      <c r="G4" s="1" t="s">
        <v>71</v>
      </c>
      <c r="H4" s="1" t="s">
        <v>72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topLeftCell="D1" workbookViewId="0">
      <selection activeCell="G14" sqref="G14"/>
    </sheetView>
  </sheetViews>
  <sheetFormatPr defaultColWidth="9" defaultRowHeight="13.5" outlineLevelRow="3" outlineLevelCol="7"/>
  <cols>
    <col min="1" max="1" width="27.6" customWidth="1"/>
    <col min="2" max="2" width="56.35" customWidth="1"/>
    <col min="3" max="3" width="67.85" customWidth="1"/>
    <col min="4" max="6" width="64.4" customWidth="1"/>
    <col min="7" max="7" width="60.95" customWidth="1"/>
    <col min="8" max="8" width="55.2" customWidth="1"/>
  </cols>
  <sheetData>
    <row r="1" spans="1:8">
      <c r="A1" s="1" t="s">
        <v>0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</row>
    <row r="2" ht="27" spans="1:8">
      <c r="A2" s="1">
        <v>1</v>
      </c>
      <c r="B2" s="1" t="s">
        <v>17</v>
      </c>
      <c r="C2" s="1" t="s">
        <v>80</v>
      </c>
      <c r="D2" s="1" t="s">
        <v>17</v>
      </c>
      <c r="E2" s="1" t="s">
        <v>17</v>
      </c>
      <c r="F2" s="1" t="s">
        <v>17</v>
      </c>
      <c r="G2" s="1" t="s">
        <v>17</v>
      </c>
      <c r="H2" s="1" t="s">
        <v>17</v>
      </c>
    </row>
    <row r="3" spans="1:8">
      <c r="A3" s="1">
        <v>2</v>
      </c>
      <c r="B3" s="1" t="s">
        <v>17</v>
      </c>
      <c r="C3" s="1" t="s">
        <v>17</v>
      </c>
      <c r="D3" s="1" t="s">
        <v>17</v>
      </c>
      <c r="E3" s="1" t="s">
        <v>17</v>
      </c>
      <c r="F3" s="1" t="s">
        <v>17</v>
      </c>
      <c r="G3" s="1" t="s">
        <v>17</v>
      </c>
      <c r="H3" s="1" t="s">
        <v>17</v>
      </c>
    </row>
    <row r="4" spans="1:8">
      <c r="A4" s="1">
        <v>3</v>
      </c>
      <c r="B4" s="1" t="s">
        <v>17</v>
      </c>
      <c r="C4" s="1" t="s">
        <v>17</v>
      </c>
      <c r="D4" s="1" t="s">
        <v>81</v>
      </c>
      <c r="E4" s="1" t="s">
        <v>17</v>
      </c>
      <c r="F4" s="1" t="s">
        <v>82</v>
      </c>
      <c r="G4" s="1" t="s">
        <v>83</v>
      </c>
      <c r="H4" s="1">
        <v>0.3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topLeftCell="D1" workbookViewId="0">
      <selection activeCell="G48" sqref="G48"/>
    </sheetView>
  </sheetViews>
  <sheetFormatPr defaultColWidth="9" defaultRowHeight="13.5" outlineLevelRow="3" outlineLevelCol="7"/>
  <cols>
    <col min="1" max="1" width="27.6" customWidth="1"/>
    <col min="2" max="2" width="56.35" customWidth="1"/>
    <col min="3" max="3" width="67.85" customWidth="1"/>
    <col min="4" max="6" width="64.4" customWidth="1"/>
    <col min="7" max="7" width="60.95" customWidth="1"/>
    <col min="8" max="8" width="55.2" customWidth="1"/>
  </cols>
  <sheetData>
    <row r="1" spans="1:8">
      <c r="A1" s="1" t="s">
        <v>0</v>
      </c>
      <c r="B1" s="1" t="s">
        <v>84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</row>
    <row r="2" spans="1:8">
      <c r="A2" s="1">
        <v>1</v>
      </c>
      <c r="B2" s="1" t="s">
        <v>17</v>
      </c>
      <c r="C2" s="1" t="s">
        <v>17</v>
      </c>
      <c r="D2" s="1" t="s">
        <v>17</v>
      </c>
      <c r="E2" s="1" t="s">
        <v>17</v>
      </c>
      <c r="F2" s="1" t="s">
        <v>17</v>
      </c>
      <c r="G2" s="1" t="s">
        <v>17</v>
      </c>
      <c r="H2" s="1" t="s">
        <v>17</v>
      </c>
    </row>
    <row r="3" spans="1:8">
      <c r="A3" s="1">
        <v>2</v>
      </c>
      <c r="B3" s="1" t="s">
        <v>17</v>
      </c>
      <c r="C3" s="1" t="s">
        <v>17</v>
      </c>
      <c r="D3" s="1" t="s">
        <v>17</v>
      </c>
      <c r="E3" s="1" t="s">
        <v>17</v>
      </c>
      <c r="F3" s="1" t="s">
        <v>17</v>
      </c>
      <c r="G3" s="1" t="s">
        <v>17</v>
      </c>
      <c r="H3" s="1" t="s">
        <v>17</v>
      </c>
    </row>
    <row r="4" spans="1:8">
      <c r="A4" s="1">
        <v>3</v>
      </c>
      <c r="B4" s="1" t="s">
        <v>17</v>
      </c>
      <c r="C4" s="1" t="s">
        <v>17</v>
      </c>
      <c r="D4" s="1">
        <v>110</v>
      </c>
      <c r="E4" s="1" t="s">
        <v>17</v>
      </c>
      <c r="F4" s="1">
        <v>800</v>
      </c>
      <c r="G4" s="1">
        <v>4.5</v>
      </c>
      <c r="H4" s="1">
        <v>0.3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tabSelected="1" topLeftCell="B1" workbookViewId="0">
      <selection activeCell="D12" sqref="D12"/>
    </sheetView>
  </sheetViews>
  <sheetFormatPr defaultColWidth="9" defaultRowHeight="13.5" outlineLevelRow="3" outlineLevelCol="6"/>
  <cols>
    <col min="1" max="1" width="27.6" customWidth="1"/>
    <col min="2" max="2" width="55.2" customWidth="1"/>
    <col min="3" max="3" width="56.35" customWidth="1"/>
    <col min="4" max="4" width="67.85" customWidth="1"/>
    <col min="5" max="7" width="55.2" customWidth="1"/>
  </cols>
  <sheetData>
    <row r="1" spans="1:7">
      <c r="A1" s="1" t="s">
        <v>0</v>
      </c>
      <c r="B1" s="1" t="s">
        <v>91</v>
      </c>
      <c r="C1" s="1" t="s">
        <v>92</v>
      </c>
      <c r="D1" s="1" t="s">
        <v>93</v>
      </c>
      <c r="E1" s="1" t="s">
        <v>94</v>
      </c>
      <c r="F1" s="1" t="s">
        <v>95</v>
      </c>
      <c r="G1" s="1" t="s">
        <v>96</v>
      </c>
    </row>
    <row r="2" ht="27" spans="1:7">
      <c r="A2" s="1">
        <v>1</v>
      </c>
      <c r="B2" s="1" t="s">
        <v>97</v>
      </c>
      <c r="C2" s="1" t="s">
        <v>98</v>
      </c>
      <c r="D2" s="1" t="s">
        <v>99</v>
      </c>
      <c r="E2" s="1" t="s">
        <v>17</v>
      </c>
      <c r="F2" s="1" t="s">
        <v>100</v>
      </c>
      <c r="G2" s="1" t="s">
        <v>17</v>
      </c>
    </row>
    <row r="3" ht="162" spans="1:7">
      <c r="A3" s="1">
        <v>2</v>
      </c>
      <c r="B3" s="1" t="s">
        <v>101</v>
      </c>
      <c r="C3" s="1" t="s">
        <v>17</v>
      </c>
      <c r="D3" s="1" t="s">
        <v>17</v>
      </c>
      <c r="E3" s="1" t="s">
        <v>102</v>
      </c>
      <c r="F3" s="1" t="s">
        <v>17</v>
      </c>
      <c r="G3" s="1" t="s">
        <v>17</v>
      </c>
    </row>
    <row r="4" ht="40.5" spans="1:7">
      <c r="A4" s="1">
        <v>3</v>
      </c>
      <c r="B4" s="1" t="s">
        <v>17</v>
      </c>
      <c r="C4" s="1" t="s">
        <v>17</v>
      </c>
      <c r="D4" s="1" t="s">
        <v>103</v>
      </c>
      <c r="E4" s="1" t="s">
        <v>17</v>
      </c>
      <c r="F4" s="1" t="s">
        <v>17</v>
      </c>
      <c r="G4" s="1" t="s">
        <v>104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D4" sqref="D4"/>
    </sheetView>
  </sheetViews>
  <sheetFormatPr defaultColWidth="9" defaultRowHeight="13.5" outlineLevelRow="3" outlineLevelCol="3"/>
  <cols>
    <col min="1" max="1" width="27.6" customWidth="1"/>
    <col min="2" max="4" width="58.65" customWidth="1"/>
  </cols>
  <sheetData>
    <row r="1" spans="1:4">
      <c r="A1" s="1" t="s">
        <v>0</v>
      </c>
      <c r="B1" s="1" t="s">
        <v>105</v>
      </c>
      <c r="C1" s="1" t="s">
        <v>106</v>
      </c>
      <c r="D1" s="1" t="s">
        <v>107</v>
      </c>
    </row>
    <row r="2" ht="27" spans="1:4">
      <c r="A2" s="1">
        <v>1</v>
      </c>
      <c r="B2" s="1" t="s">
        <v>108</v>
      </c>
      <c r="C2" s="1" t="s">
        <v>109</v>
      </c>
      <c r="D2" s="1" t="s">
        <v>100</v>
      </c>
    </row>
    <row r="3" spans="1:4">
      <c r="A3" s="1">
        <v>2</v>
      </c>
      <c r="B3" s="1" t="s">
        <v>17</v>
      </c>
      <c r="C3" s="1" t="s">
        <v>17</v>
      </c>
      <c r="D3" s="1" t="s">
        <v>17</v>
      </c>
    </row>
    <row r="4" ht="40.5" spans="1:4">
      <c r="A4" s="1">
        <v>3</v>
      </c>
      <c r="B4" s="1" t="s">
        <v>110</v>
      </c>
      <c r="C4" s="1" t="s">
        <v>111</v>
      </c>
      <c r="D4" s="1" t="s">
        <v>112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"/>
  <sheetViews>
    <sheetView workbookViewId="0">
      <selection activeCell="B35" sqref="B35"/>
    </sheetView>
  </sheetViews>
  <sheetFormatPr defaultColWidth="9" defaultRowHeight="13.5" outlineLevelRow="3" outlineLevelCol="2"/>
  <cols>
    <col min="1" max="1" width="27.6" customWidth="1"/>
    <col min="2" max="2" width="129.95" customWidth="1"/>
    <col min="3" max="3" width="51.75" customWidth="1"/>
  </cols>
  <sheetData>
    <row r="1" spans="1:3">
      <c r="A1" s="1" t="s">
        <v>0</v>
      </c>
      <c r="B1" s="1" t="s">
        <v>113</v>
      </c>
      <c r="C1" s="1" t="s">
        <v>114</v>
      </c>
    </row>
    <row r="2" ht="27" spans="1:3">
      <c r="A2" s="1">
        <v>1</v>
      </c>
      <c r="B2" s="1" t="str">
        <f>_xlfn.DISPIMG("ID_9A68F66D52CD4DCBA013B07B0FB87912",1)</f>
        <v>=DISPIMG("ID_9A68F66D52CD4DCBA013B07B0FB87912",1)</v>
      </c>
      <c r="C2" s="1" t="s">
        <v>115</v>
      </c>
    </row>
    <row r="3" spans="1:3">
      <c r="A3" s="1">
        <v>2</v>
      </c>
      <c r="B3" s="1" t="s">
        <v>17</v>
      </c>
      <c r="C3" s="1" t="s">
        <v>17</v>
      </c>
    </row>
    <row r="4" ht="108" spans="1:3">
      <c r="A4" s="1">
        <v>3</v>
      </c>
      <c r="B4" s="1" t="str">
        <f>_xlfn.DISPIMG("ID_43491084875C473E854C66FCE5A35844",1)</f>
        <v>=DISPIMG("ID_43491084875C473E854C66FCE5A35844",1)</v>
      </c>
      <c r="C4" s="1" t="s">
        <v>116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吾与永恒画押</cp:lastModifiedBy>
  <dcterms:created xsi:type="dcterms:W3CDTF">2025-09-26T12:00:00Z</dcterms:created>
  <dcterms:modified xsi:type="dcterms:W3CDTF">2026-01-14T13:01:56Z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F182B0E2C86846C6AC5051E46AC17420_13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